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RM" sheetId="1" r:id="rId5"/>
  </sheets>
  <definedNames/>
  <calcPr/>
</workbook>
</file>

<file path=xl/sharedStrings.xml><?xml version="1.0" encoding="utf-8"?>
<sst xmlns="http://schemas.openxmlformats.org/spreadsheetml/2006/main" count="378" uniqueCount="253">
  <si>
    <t>Sandriver Mara Eco Camp</t>
  </si>
  <si>
    <t>Variances - MTD</t>
  </si>
  <si>
    <t>Variance YTD</t>
  </si>
  <si>
    <t>Variance Full Year</t>
  </si>
  <si>
    <t>2026A+F</t>
  </si>
  <si>
    <t>2026A+B</t>
  </si>
  <si>
    <t>2026B</t>
  </si>
  <si>
    <t>2025A</t>
  </si>
  <si>
    <t>2026F</t>
  </si>
  <si>
    <t>2026A</t>
  </si>
  <si>
    <t>A vs F</t>
  </si>
  <si>
    <t>A vs B</t>
  </si>
  <si>
    <t>A vs LY</t>
  </si>
  <si>
    <t>YTD</t>
  </si>
  <si>
    <t>Annualised</t>
  </si>
  <si>
    <t>A+F vs B</t>
  </si>
  <si>
    <t>A+B vs LY</t>
  </si>
  <si>
    <t>A</t>
  </si>
  <si>
    <t>F</t>
  </si>
  <si>
    <t>B</t>
  </si>
  <si>
    <t>A+F</t>
  </si>
  <si>
    <t>A+B</t>
  </si>
  <si>
    <t>Income Statement</t>
  </si>
  <si>
    <t>$</t>
  </si>
  <si>
    <t>%</t>
  </si>
  <si>
    <t>Days</t>
  </si>
  <si>
    <t>Occupancy %</t>
  </si>
  <si>
    <t>Gross ARR</t>
  </si>
  <si>
    <t>Gross RevPAR</t>
  </si>
  <si>
    <r>
      <rPr>
        <rFont val="Nunito"/>
        <b/>
        <color rgb="FF00B0F0"/>
        <sz val="9.0"/>
      </rPr>
      <t>Net A</t>
    </r>
    <r>
      <rPr>
        <rFont val="Nunito"/>
        <b/>
        <color rgb="FF00B0F0"/>
        <sz val="9.0"/>
      </rPr>
      <t>RR</t>
    </r>
  </si>
  <si>
    <t>Gross Total Revenue</t>
  </si>
  <si>
    <t>Net Total Revenue</t>
  </si>
  <si>
    <t>Managed costs</t>
  </si>
  <si>
    <t>Imposed costs</t>
  </si>
  <si>
    <t>Contribution</t>
  </si>
  <si>
    <t>Management Fees</t>
  </si>
  <si>
    <t>HO Costs</t>
  </si>
  <si>
    <t>EBITDA</t>
  </si>
  <si>
    <t>Depreciation &amp; Amortization</t>
  </si>
  <si>
    <t>Income Tax</t>
  </si>
  <si>
    <t>Finance cost</t>
  </si>
  <si>
    <t>Other Non EBITDA</t>
  </si>
  <si>
    <t>NOP</t>
  </si>
  <si>
    <t>Variable Margin</t>
  </si>
  <si>
    <t>Net Contribution Margin</t>
  </si>
  <si>
    <t>Net EBITDA Margin</t>
  </si>
  <si>
    <t>% Flowthrough to Contribution</t>
  </si>
  <si>
    <t>% Flowthrough to EBITDA</t>
  </si>
  <si>
    <t>Statistics</t>
  </si>
  <si>
    <t>FY</t>
  </si>
  <si>
    <t>Rooms Available</t>
  </si>
  <si>
    <t>Rooms - GP</t>
  </si>
  <si>
    <t>Rooms - FB</t>
  </si>
  <si>
    <t>Rooms - BB/HB</t>
  </si>
  <si>
    <t>Rooms - DR</t>
  </si>
  <si>
    <t>Rooms - Conference</t>
  </si>
  <si>
    <t>Rooms Sold</t>
  </si>
  <si>
    <t>Beds - GP</t>
  </si>
  <si>
    <t>Beds - FB</t>
  </si>
  <si>
    <t>Beds - BB/HB</t>
  </si>
  <si>
    <t>Beds - DR</t>
  </si>
  <si>
    <t>Beds - Conference</t>
  </si>
  <si>
    <t>Beds Sold</t>
  </si>
  <si>
    <t>PAX - Day Conference</t>
  </si>
  <si>
    <t>PAX - Day Room</t>
  </si>
  <si>
    <t>PAX - Walk-in Extras</t>
  </si>
  <si>
    <t>Total Day PAX</t>
  </si>
  <si>
    <t>Double Occupancy</t>
  </si>
  <si>
    <t>Room Occupancy %</t>
  </si>
  <si>
    <t>Gross Stats:</t>
  </si>
  <si>
    <t>Gross ARR - GP</t>
  </si>
  <si>
    <t>Gross ARR - FB</t>
  </si>
  <si>
    <t>Gross ARR - HB/BB</t>
  </si>
  <si>
    <t>Gross ARR - DR</t>
  </si>
  <si>
    <t>Gross ARR - Conference</t>
  </si>
  <si>
    <t>Gross RevPOR</t>
  </si>
  <si>
    <t>Net Stats:</t>
  </si>
  <si>
    <t>Net ARR - GP</t>
  </si>
  <si>
    <t>Net ARR - FB</t>
  </si>
  <si>
    <t>Net ARR - HB/BB</t>
  </si>
  <si>
    <t>Net ARR - DR</t>
  </si>
  <si>
    <t>Net ARR - Conference</t>
  </si>
  <si>
    <t>Net ARR</t>
  </si>
  <si>
    <t>Net RevPAR</t>
  </si>
  <si>
    <t>Net RevPOR</t>
  </si>
  <si>
    <t>Revenue and Taxes</t>
  </si>
  <si>
    <t>Gross Revenue</t>
  </si>
  <si>
    <t>Gross Room Revenue - GP</t>
  </si>
  <si>
    <t>Gross Room Revenue - FB</t>
  </si>
  <si>
    <t>Gross Room Revenue - HB/BB</t>
  </si>
  <si>
    <t>Gross Room Revenue - DR</t>
  </si>
  <si>
    <t>Gross Room Revenue - Conference</t>
  </si>
  <si>
    <t>Total Gross Room Revenue</t>
  </si>
  <si>
    <t>Total Gross Extra Sales</t>
  </si>
  <si>
    <t>Gross Park &amp; Conservancy Fees</t>
  </si>
  <si>
    <t>Gross Management Fees - HO</t>
  </si>
  <si>
    <t>Total Gross Revenue</t>
  </si>
  <si>
    <t>Taxes</t>
  </si>
  <si>
    <t>Taxes as a % to Net Revenue</t>
  </si>
  <si>
    <t>Net Revenue</t>
  </si>
  <si>
    <t>Net Room Revenue - GP</t>
  </si>
  <si>
    <t>Net Room Revenue - FB</t>
  </si>
  <si>
    <t>Net Room Revenue - HB/BB</t>
  </si>
  <si>
    <t>Net Room Revenue - DR</t>
  </si>
  <si>
    <t>Net Room Revenue - Conference</t>
  </si>
  <si>
    <t>Total Net Room Revenue</t>
  </si>
  <si>
    <t>Total Net Extra Sales (excl. Park/Cons. Fees &amp; Mngt. Fees)</t>
  </si>
  <si>
    <t>Food</t>
  </si>
  <si>
    <t>Bar</t>
  </si>
  <si>
    <t>Extras</t>
  </si>
  <si>
    <t>Curio Shop</t>
  </si>
  <si>
    <t>Conference</t>
  </si>
  <si>
    <t>Vehicle Transfer / Private vehicle Sales</t>
  </si>
  <si>
    <t>Coffee Tours</t>
  </si>
  <si>
    <t>Spa &amp; Wellness</t>
  </si>
  <si>
    <t>Rental Income</t>
  </si>
  <si>
    <t>Net Park &amp; Conservancy Fees</t>
  </si>
  <si>
    <t>Net Management Fees - HO</t>
  </si>
  <si>
    <t>Total Net Revenue</t>
  </si>
  <si>
    <t>Total Net Revenue (excl. Park &amp; Conservancy Fees)</t>
  </si>
  <si>
    <t>Revenue Assumptions:</t>
  </si>
  <si>
    <t>Food per pax</t>
  </si>
  <si>
    <t>Bar per pax</t>
  </si>
  <si>
    <t>Extras per pax</t>
  </si>
  <si>
    <t>Curio Shop per pax</t>
  </si>
  <si>
    <t>Spa &amp; Wellness per pax</t>
  </si>
  <si>
    <t>Food % to Room Revenue</t>
  </si>
  <si>
    <t>Bar % to Room Revenue</t>
  </si>
  <si>
    <t>Food &amp; Bev % to Total Revenue</t>
  </si>
  <si>
    <t>Variable Costs</t>
  </si>
  <si>
    <t>Food Cost</t>
  </si>
  <si>
    <t>Bar Cost</t>
  </si>
  <si>
    <t>Conference Cost</t>
  </si>
  <si>
    <t>Housekeeping Cost</t>
  </si>
  <si>
    <t>Gas Cost</t>
  </si>
  <si>
    <t>Kitchen Consumables</t>
  </si>
  <si>
    <t>Drivers Cost</t>
  </si>
  <si>
    <t>Guest Water Bottle</t>
  </si>
  <si>
    <t>Land &amp; Life</t>
  </si>
  <si>
    <t>Sub Total</t>
  </si>
  <si>
    <t>Per Pax</t>
  </si>
  <si>
    <t>Establishment Costs</t>
  </si>
  <si>
    <t>No of Staff</t>
  </si>
  <si>
    <t>Staff Payroll Cost</t>
  </si>
  <si>
    <t>Cost per Staff</t>
  </si>
  <si>
    <t>No of Management Staff</t>
  </si>
  <si>
    <t>Management Payroll Cost</t>
  </si>
  <si>
    <t>Cost per Management Staff</t>
  </si>
  <si>
    <t>Employee per Room</t>
  </si>
  <si>
    <t>Employee Cost per Room</t>
  </si>
  <si>
    <t>Gross Payroll Cost</t>
  </si>
  <si>
    <t>Staff Transport</t>
  </si>
  <si>
    <t>Staff Uniforms &amp; Shoes</t>
  </si>
  <si>
    <t xml:space="preserve">Staff Training </t>
  </si>
  <si>
    <t>Staff Others</t>
  </si>
  <si>
    <t>Staff Canteen</t>
  </si>
  <si>
    <t>Total Staff Cost</t>
  </si>
  <si>
    <t>as % on Net Revenue</t>
  </si>
  <si>
    <t>staff canteen cost PSPD</t>
  </si>
  <si>
    <t>Fixed Cost</t>
  </si>
  <si>
    <t>Lodge administration</t>
  </si>
  <si>
    <t>Softwares</t>
  </si>
  <si>
    <t>Guest give aways / Lodge Marketing</t>
  </si>
  <si>
    <t>Land/Lease Rent/Camping Fee</t>
  </si>
  <si>
    <t>DSTV</t>
  </si>
  <si>
    <t>Medicine</t>
  </si>
  <si>
    <t>License &amp; Fee</t>
  </si>
  <si>
    <t xml:space="preserve">Lodge Insurance </t>
  </si>
  <si>
    <t>Printing &amp; Stationery</t>
  </si>
  <si>
    <t>Telephone &amp; Internet</t>
  </si>
  <si>
    <t>Bank Charges &amp; Credit Card Commissions</t>
  </si>
  <si>
    <t>OTA Commissions</t>
  </si>
  <si>
    <t>Realised Forex Gain / (Loss)</t>
  </si>
  <si>
    <t>Legal &amp; Professional Fees</t>
  </si>
  <si>
    <t>Lodge Travel</t>
  </si>
  <si>
    <t>Security Charges</t>
  </si>
  <si>
    <t>Other Cost</t>
  </si>
  <si>
    <t>Variable Lease Fees</t>
  </si>
  <si>
    <t>Service Stock</t>
  </si>
  <si>
    <t>Stock differences</t>
  </si>
  <si>
    <t>Electricity/Solar</t>
  </si>
  <si>
    <t>Fuel - Generator</t>
  </si>
  <si>
    <t>Fuel - Boiler</t>
  </si>
  <si>
    <t>Fuel - Central Heating</t>
  </si>
  <si>
    <t>Fuel - Other</t>
  </si>
  <si>
    <t>Resupply Vehicle</t>
  </si>
  <si>
    <t>Lodge Service Vehicle</t>
  </si>
  <si>
    <t>Lodge Service Vehicle - Fuel</t>
  </si>
  <si>
    <t>Lodge Service Vehicle - Maintenance</t>
  </si>
  <si>
    <t>Vehicle Cost - GP</t>
  </si>
  <si>
    <t>Vehicle Cost GP - Fuel</t>
  </si>
  <si>
    <t>Vehicle Cost GP - Maintenance</t>
  </si>
  <si>
    <t>Vehicle Cost - C&amp;P</t>
  </si>
  <si>
    <t>Vehicle Cost - Hire</t>
  </si>
  <si>
    <t>Maintenance Costs</t>
  </si>
  <si>
    <t>Maintenance - General</t>
  </si>
  <si>
    <t>Maintenance - Electrical</t>
  </si>
  <si>
    <t>Maintenance - Generator</t>
  </si>
  <si>
    <t>Maintenance - Boiler</t>
  </si>
  <si>
    <t>Maintenance - Laundry Equipment</t>
  </si>
  <si>
    <t>Maintenance - Kitchen Equipment</t>
  </si>
  <si>
    <t>Maintenance- Refrigeration</t>
  </si>
  <si>
    <t>Maintenance- Borehole</t>
  </si>
  <si>
    <t>Maintenance- Building</t>
  </si>
  <si>
    <t>Maintenance- Painting</t>
  </si>
  <si>
    <t>Maintenance- Plumbing</t>
  </si>
  <si>
    <t>Maintenance- Pool</t>
  </si>
  <si>
    <t>Maintenance- Tools</t>
  </si>
  <si>
    <t>Maintenance- Fumigation</t>
  </si>
  <si>
    <t>Minor &amp; Small Equipment (Small CAPEX)</t>
  </si>
  <si>
    <t>Water &amp; Bowsering charges</t>
  </si>
  <si>
    <t>Costs that move as a % to Revenue($)</t>
  </si>
  <si>
    <r>
      <rPr>
        <rFont val="Nunito"/>
        <color theme="1"/>
        <sz val="9.0"/>
      </rPr>
      <t xml:space="preserve">Food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</si>
  <si>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Bar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</si>
  <si>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Extras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</si>
  <si>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Curio Shop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</si>
  <si>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Spa &amp; Wellness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</si>
  <si>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Park &amp; Conservancy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</si>
  <si>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Coffee Tours Cost </t>
    </r>
    <r>
      <rPr>
        <rFont val="Nunito"/>
        <color rgb="FF999999"/>
        <sz val="9.0"/>
      </rPr>
      <t>(% in $)</t>
    </r>
  </si>
  <si>
    <r>
      <rPr>
        <rFont val="Nunito"/>
        <color theme="1"/>
        <sz val="9.0"/>
      </rPr>
      <t xml:space="preserve">Rental Income Cost </t>
    </r>
    <r>
      <rPr>
        <rFont val="Nunito"/>
        <color rgb="FF999999"/>
        <sz val="9.0"/>
      </rPr>
      <t>(% in $)</t>
    </r>
  </si>
  <si>
    <t>Costs that move as a % to Revenue (%)</t>
  </si>
  <si>
    <t>Food Cost %</t>
  </si>
  <si>
    <t>Bar Cost %</t>
  </si>
  <si>
    <t>Extras Cost %</t>
  </si>
  <si>
    <t>Curio Shop Cost %</t>
  </si>
  <si>
    <t>Spa &amp; Wellness Cost %</t>
  </si>
  <si>
    <t>Park &amp; Conservancy Cost %</t>
  </si>
  <si>
    <t>Coffee Tours Cost %</t>
  </si>
  <si>
    <t>Rental Income Cost %</t>
  </si>
  <si>
    <t>Costs that move as a % to Revenue Margin($)</t>
  </si>
  <si>
    <r>
      <rPr>
        <rFont val="Nunito"/>
        <color theme="1"/>
        <sz val="9.0"/>
      </rPr>
      <t xml:space="preserve">Food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</si>
  <si>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Bar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</si>
  <si>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Extras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</si>
  <si>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Curio Shop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</si>
  <si>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Spa &amp; Wellness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</si>
  <si>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Park &amp; Conservancy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</si>
  <si>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Coffee Tours Margin </t>
    </r>
    <r>
      <rPr>
        <rFont val="Nunito"/>
        <color rgb="FF999999"/>
        <sz val="9.0"/>
      </rPr>
      <t>(in $)</t>
    </r>
  </si>
  <si>
    <r>
      <rPr>
        <rFont val="Nunito"/>
        <color theme="1"/>
        <sz val="9.0"/>
      </rPr>
      <t xml:space="preserve">Rental Income Margin </t>
    </r>
    <r>
      <rPr>
        <rFont val="Nunito"/>
        <color rgb="FF999999"/>
        <sz val="9.0"/>
      </rPr>
      <t>(in $)</t>
    </r>
  </si>
  <si>
    <t>Total Costs</t>
  </si>
  <si>
    <t>Contribution to HO</t>
  </si>
  <si>
    <t>% variable margin</t>
  </si>
  <si>
    <t>Gross Margin %</t>
  </si>
  <si>
    <t>Net Margin %</t>
  </si>
  <si>
    <t>Head Office Cost</t>
  </si>
  <si>
    <t>Depreciation &amp; Amortisation</t>
  </si>
  <si>
    <t>Interest Income</t>
  </si>
  <si>
    <t>Interest on Loans</t>
  </si>
  <si>
    <t>Interest on ODs</t>
  </si>
  <si>
    <t>Group Interest (HoldCo)- TTHIL</t>
  </si>
  <si>
    <t>Group Interest (R.P)-MHGMEA</t>
  </si>
  <si>
    <t>Aircraft expenses</t>
  </si>
  <si>
    <t>Forex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</si>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</sst>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&quot; &quot;#,##0&quot; &quot;;&quot; (&quot;#,##0&quot;)&quot;;&quot; -&quot;00&quot; &quot;;&quot; &quot;@&quot; &quot;"/>
    <numFmt numFmtId="165" formatCode="&quot; &quot;mmm&quot; &quot;"/>
    <numFmt numFmtId="166" formatCode="#,##0;\(#,##0\)"/>
    <numFmt numFmtId="167" formatCode="#,##0;(#,##0)"/>
    <numFmt numFmtId="168" formatCode="#,##0,;(#,##0,)"/>
    <numFmt numFmtId="169" formatCode="0.0%"/>
    <numFmt numFmtId="170" formatCode="0;[Red]0"/>
    <numFmt numFmtId="171" formatCode="_-* #,##0_-;\-* #,##0_-;_-* &quot;-&quot;??_-;_-@"/>
    <numFmt numFmtId="172" formatCode="#,##0.00;\(#,##0.00\)"/>
    <numFmt numFmtId="173" formatCode="_(* #,##0.00_);_(* \(#,##0.00\);_(* &quot;-&quot;??_);_(@_)"/>
  </numFmts>
  <fonts count="38">
    <font>
      <sz val="10.0"/>
      <color rgb="FF000000"/>
      <name val="Arial"/>
      <scheme val="minor"/>
    </font>
    <font>
      <sz val="9.0"/>
      <color theme="1"/>
      <name val="Nunito"/>
    </font>
    <font>
      <sz val="9.0"/>
      <color rgb="FF000000"/>
      <name val="Nunito"/>
    </font>
    <font>
      <color theme="1"/>
      <name val="Nunito"/>
    </font>
    <font>
      <sz val="8.0"/>
      <color theme="1"/>
      <name val="Nunito"/>
    </font>
    <font>
      <sz val="9.0"/>
      <color rgb="FFD9D9D9"/>
      <name val="Nunito"/>
    </font>
    <font>
      <sz val="9.0"/>
      <color rgb="FFFF0000"/>
      <name val="Nunito"/>
    </font>
    <font>
      <b/>
      <sz val="9.0"/>
      <color rgb="FFFFFFFF"/>
      <name val="Nunito"/>
    </font>
    <font>
      <b/>
      <sz val="9.0"/>
      <color theme="1"/>
      <name val="Nunito"/>
    </font>
    <font>
      <b/>
      <sz val="9.0"/>
      <color rgb="FF000000"/>
      <name val="Nunito"/>
    </font>
    <font/>
    <font>
      <b/>
      <sz val="8.0"/>
      <color theme="1"/>
      <name val="Nunito"/>
    </font>
    <font>
      <sz val="9.0"/>
      <color rgb="FFF3F3F3"/>
      <name val="Nunito"/>
    </font>
    <font>
      <b/>
      <sz val="8.0"/>
      <color rgb="FFFFFFFF"/>
      <name val="Nunito"/>
    </font>
    <font>
      <sz val="8.0"/>
      <color rgb="FF000000"/>
      <name val="Nunito"/>
    </font>
    <font>
      <b/>
      <sz val="9.0"/>
      <color rgb="FF00B0F0"/>
      <name val="Nunito"/>
    </font>
    <font>
      <i/>
      <sz val="8.0"/>
      <color theme="1"/>
      <name val="Nunito"/>
    </font>
    <font>
      <b/>
      <sz val="8.0"/>
      <color rgb="FF00B0F0"/>
      <name val="Nunito"/>
    </font>
    <font>
      <b/>
      <i/>
      <sz val="8.0"/>
      <color rgb="FFFFFFFF"/>
      <name val="Nunito"/>
    </font>
    <font>
      <i/>
      <sz val="8.0"/>
      <color rgb="FFFFFFFF"/>
      <name val="Nunito"/>
    </font>
    <font>
      <i/>
      <sz val="9.0"/>
      <color rgb="FF000000"/>
      <name val="Nunito"/>
    </font>
    <font>
      <i/>
      <sz val="9.0"/>
      <color theme="1"/>
      <name val="Nunito"/>
    </font>
    <font>
      <i/>
      <sz val="8.0"/>
      <color rgb="FF000000"/>
      <name val="Nunito"/>
    </font>
    <font>
      <b/>
      <sz val="8.0"/>
      <color rgb="FF000000"/>
      <name val="Nunito"/>
    </font>
    <font>
      <sz val="9.0"/>
      <color rgb="FFB7B7B7"/>
      <name val="Nunito"/>
    </font>
    <font>
      <sz val="9.0"/>
      <color rgb="FF999999"/>
      <name val="Nunito"/>
    </font>
    <font>
      <b/>
      <sz val="9.0"/>
      <color rgb="FFD9D9D9"/>
      <name val="Nunito"/>
    </font>
    <font>
      <b/>
      <i/>
      <sz val="9.0"/>
      <color theme="1"/>
      <name val="Nunito"/>
    </font>
    <font>
      <b/>
      <sz val="9.0"/>
      <color rgb="FFFF0000"/>
      <name val="Nunito"/>
    </font>
    <font>
      <sz val="7.0"/>
      <color rgb="FF999999"/>
      <name val="Nunito"/>
    </font>
    <font>
      <u/>
      <sz val="9.0"/>
      <color theme="1"/>
      <name val="Nunito"/>
    </font>
    <font>
      <u/>
      <sz val="9.0"/>
      <color rgb="FF000000"/>
      <name val="Nunito"/>
    </font>
    <font>
      <u/>
      <sz val="9.0"/>
      <color theme="1"/>
      <name val="Nunito"/>
    </font>
    <font>
      <b/>
      <i/>
      <sz val="8.0"/>
      <color rgb="FF93C47D"/>
      <name val="Nunito"/>
    </font>
    <font>
      <b/>
      <i/>
      <sz val="8.0"/>
      <color theme="1"/>
      <name val="Nunito"/>
    </font>
    <font>
      <b/>
      <i/>
      <sz val="8.0"/>
      <color rgb="FFFF0000"/>
      <name val="Nunito"/>
    </font>
    <font>
      <b/>
      <i/>
      <sz val="9.0"/>
      <color rgb="FF93C47D"/>
      <name val="Nunito"/>
    </font>
    <font>
      <b/>
      <i/>
      <sz val="9.0"/>
      <color rgb="FFFFFFFF"/>
      <name val="Nunito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BF9000"/>
        <bgColor rgb="FFBF90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2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2" fontId="5" numFmtId="0" xfId="0" applyAlignment="1" applyFill="1" applyFont="1">
      <alignment horizontal="left" vertical="center"/>
    </xf>
    <xf borderId="0" fillId="3" fontId="6" numFmtId="0" xfId="0" applyAlignment="1" applyFill="1" applyFont="1">
      <alignment horizontal="center" vertical="center"/>
    </xf>
    <xf borderId="0" fillId="4" fontId="6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5" numFmtId="164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5" fontId="7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6" fontId="8" numFmtId="0" xfId="0" applyAlignment="1" applyFill="1" applyFont="1">
      <alignment readingOrder="0" vertical="center"/>
    </xf>
    <xf borderId="0" fillId="0" fontId="9" numFmtId="0" xfId="0" applyAlignment="1" applyFont="1">
      <alignment vertical="center"/>
    </xf>
    <xf borderId="1" fillId="6" fontId="2" numFmtId="0" xfId="0" applyAlignment="1" applyBorder="1" applyFont="1">
      <alignment horizontal="center" readingOrder="0" vertical="center"/>
    </xf>
    <xf borderId="2" fillId="0" fontId="10" numFmtId="0" xfId="0" applyBorder="1" applyFont="1"/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7" fontId="7" numFmtId="0" xfId="0" applyAlignment="1" applyBorder="1" applyFill="1" applyFont="1">
      <alignment horizontal="center" vertical="center"/>
    </xf>
    <xf borderId="3" fillId="0" fontId="10" numFmtId="0" xfId="0" applyBorder="1" applyFont="1"/>
    <xf borderId="1" fillId="7" fontId="7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7" fontId="7" numFmtId="165" xfId="0" applyAlignment="1" applyFont="1" applyNumberFormat="1">
      <alignment horizontal="center" vertical="center"/>
    </xf>
    <xf borderId="0" fillId="7" fontId="13" numFmtId="0" xfId="0" applyAlignment="1" applyFont="1">
      <alignment horizontal="center" vertical="center"/>
    </xf>
    <xf borderId="0" fillId="7" fontId="7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7" fontId="7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7" fontId="13" numFmtId="9" xfId="0" applyAlignment="1" applyFont="1" applyNumberFormat="1">
      <alignment horizontal="center" vertical="center"/>
    </xf>
    <xf borderId="4" fillId="7" fontId="7" numFmtId="17" xfId="0" applyAlignment="1" applyBorder="1" applyFont="1" applyNumberFormat="1">
      <alignment horizontal="center" vertical="center"/>
    </xf>
    <xf borderId="4" fillId="7" fontId="7" numFmtId="0" xfId="0" applyAlignment="1" applyBorder="1" applyFont="1">
      <alignment horizontal="center" vertical="center"/>
    </xf>
    <xf borderId="4" fillId="7" fontId="7" numFmtId="17" xfId="0" applyAlignment="1" applyBorder="1" applyFont="1" applyNumberFormat="1">
      <alignment horizontal="center" readingOrder="0" vertical="center"/>
    </xf>
    <xf borderId="4" fillId="7" fontId="7" numFmtId="0" xfId="0" applyAlignment="1" applyBorder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17" xfId="0" applyAlignment="1" applyFont="1" applyNumberFormat="1">
      <alignment horizontal="center" vertical="center"/>
    </xf>
    <xf borderId="0" fillId="0" fontId="7" numFmtId="0" xfId="0" applyAlignment="1" applyFont="1">
      <alignment shrinkToFit="0" vertical="center" wrapText="0"/>
    </xf>
    <xf borderId="0" fillId="0" fontId="1" numFmtId="17" xfId="0" applyAlignment="1" applyFont="1" applyNumberFormat="1">
      <alignment vertical="center"/>
    </xf>
    <xf borderId="0" fillId="0" fontId="14" numFmtId="164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15" numFmtId="164" xfId="0" applyAlignment="1" applyFont="1" applyNumberFormat="1">
      <alignment textRotation="0" vertical="center"/>
    </xf>
    <xf borderId="0" fillId="0" fontId="3" numFmtId="164" xfId="0" applyAlignment="1" applyFont="1" applyNumberFormat="1">
      <alignment vertical="center"/>
    </xf>
    <xf borderId="0" fillId="0" fontId="15" numFmtId="9" xfId="0" applyAlignment="1" applyFont="1" applyNumberFormat="1">
      <alignment horizontal="center" vertical="center"/>
    </xf>
    <xf borderId="0" fillId="0" fontId="4" numFmtId="9" xfId="0" applyAlignment="1" applyFont="1" applyNumberFormat="1">
      <alignment horizontal="center" vertical="center"/>
    </xf>
    <xf borderId="0" fillId="0" fontId="16" numFmtId="9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horizontal="left" vertical="center"/>
    </xf>
    <xf borderId="0" fillId="0" fontId="15" numFmtId="166" xfId="0" applyAlignment="1" applyFont="1" applyNumberFormat="1">
      <alignment horizontal="center" vertical="center"/>
    </xf>
    <xf borderId="0" fillId="0" fontId="1" numFmtId="166" xfId="0" applyAlignment="1" applyFont="1" applyNumberFormat="1">
      <alignment vertical="center"/>
    </xf>
    <xf borderId="0" fillId="0" fontId="17" numFmtId="167" xfId="0" applyAlignment="1" applyFont="1" applyNumberFormat="1">
      <alignment horizontal="center" vertical="center"/>
    </xf>
    <xf borderId="0" fillId="0" fontId="18" numFmtId="9" xfId="0" applyAlignment="1" applyFont="1" applyNumberFormat="1">
      <alignment horizontal="center" vertical="center"/>
    </xf>
    <xf borderId="0" fillId="0" fontId="15" numFmtId="164" xfId="0" applyAlignment="1" applyFont="1" applyNumberFormat="1">
      <alignment horizontal="left" vertical="center"/>
    </xf>
    <xf borderId="0" fillId="0" fontId="15" numFmtId="0" xfId="0" applyAlignment="1" applyFont="1">
      <alignment vertical="center"/>
    </xf>
    <xf borderId="0" fillId="0" fontId="15" numFmtId="0" xfId="0" applyAlignment="1" applyFont="1">
      <alignment horizontal="center" vertical="center"/>
    </xf>
    <xf borderId="0" fillId="0" fontId="8" numFmtId="164" xfId="0" applyAlignment="1" applyFont="1" applyNumberFormat="1">
      <alignment textRotation="0" vertical="center"/>
    </xf>
    <xf borderId="0" fillId="0" fontId="8" numFmtId="166" xfId="0" applyAlignment="1" applyFont="1" applyNumberFormat="1">
      <alignment horizontal="center" vertical="center"/>
    </xf>
    <xf borderId="0" fillId="0" fontId="4" numFmtId="167" xfId="0" applyAlignment="1" applyFont="1" applyNumberFormat="1">
      <alignment horizontal="center" vertical="center"/>
    </xf>
    <xf borderId="0" fillId="0" fontId="19" numFmtId="9" xfId="0" applyAlignment="1" applyFont="1" applyNumberFormat="1">
      <alignment horizontal="center" vertical="center"/>
    </xf>
    <xf borderId="0" fillId="0" fontId="9" numFmtId="166" xfId="0" applyAlignment="1" applyFont="1" applyNumberFormat="1">
      <alignment horizontal="center" vertical="center"/>
    </xf>
    <xf borderId="0" fillId="0" fontId="1" numFmtId="164" xfId="0" applyAlignment="1" applyFont="1" applyNumberFormat="1">
      <alignment textRotation="0" vertical="center"/>
    </xf>
    <xf borderId="0" fillId="0" fontId="1" numFmtId="168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center" vertical="center"/>
    </xf>
    <xf borderId="0" fillId="0" fontId="3" numFmtId="0" xfId="0" applyAlignment="1" applyFont="1">
      <alignment vertical="center"/>
    </xf>
    <xf borderId="0" fillId="0" fontId="8" numFmtId="168" xfId="0" applyAlignment="1" applyFont="1" applyNumberFormat="1">
      <alignment horizontal="center" vertical="center"/>
    </xf>
    <xf borderId="0" fillId="0" fontId="11" numFmtId="167" xfId="0" applyAlignment="1" applyFont="1" applyNumberFormat="1">
      <alignment horizontal="center" vertical="center"/>
    </xf>
    <xf borderId="0" fillId="0" fontId="4" numFmtId="168" xfId="0" applyAlignment="1" applyFont="1" applyNumberFormat="1">
      <alignment horizontal="center" vertical="center"/>
    </xf>
    <xf borderId="0" fillId="0" fontId="1" numFmtId="167" xfId="0" applyAlignment="1" applyFont="1" applyNumberFormat="1">
      <alignment horizontal="center" vertical="center"/>
    </xf>
    <xf borderId="0" fillId="0" fontId="11" numFmtId="164" xfId="0" applyAlignment="1" applyFont="1" applyNumberFormat="1">
      <alignment horizontal="center" vertical="center"/>
    </xf>
    <xf borderId="0" fillId="0" fontId="3" numFmtId="10" xfId="0" applyAlignment="1" applyFont="1" applyNumberFormat="1">
      <alignment horizontal="center" vertical="center"/>
    </xf>
    <xf borderId="0" fillId="0" fontId="20" numFmtId="164" xfId="0" applyAlignment="1" applyFont="1" applyNumberFormat="1">
      <alignment horizontal="left" vertical="center"/>
    </xf>
    <xf borderId="0" fillId="0" fontId="21" numFmtId="10" xfId="0" applyAlignment="1" applyFont="1" applyNumberFormat="1">
      <alignment horizontal="center" vertical="center"/>
    </xf>
    <xf borderId="0" fillId="0" fontId="16" numFmtId="164" xfId="0" applyAlignment="1" applyFont="1" applyNumberFormat="1">
      <alignment textRotation="0" vertical="center"/>
    </xf>
    <xf borderId="0" fillId="0" fontId="16" numFmtId="169" xfId="0" applyAlignment="1" applyFont="1" applyNumberFormat="1">
      <alignment horizontal="center" vertical="center"/>
    </xf>
    <xf borderId="0" fillId="0" fontId="21" numFmtId="169" xfId="0" applyAlignment="1" applyFont="1" applyNumberFormat="1">
      <alignment horizontal="center" vertical="center"/>
    </xf>
    <xf borderId="0" fillId="0" fontId="22" numFmtId="164" xfId="0" applyAlignment="1" applyFont="1" applyNumberFormat="1">
      <alignment horizontal="left" vertical="center"/>
    </xf>
    <xf borderId="0" fillId="0" fontId="14" numFmtId="0" xfId="0" applyAlignment="1" applyFont="1">
      <alignment vertical="center"/>
    </xf>
    <xf borderId="0" fillId="0" fontId="22" numFmtId="10" xfId="0" applyAlignment="1" applyFont="1" applyNumberFormat="1">
      <alignment horizontal="center" vertical="center"/>
    </xf>
    <xf borderId="0" fillId="0" fontId="22" numFmtId="169" xfId="0" applyAlignment="1" applyFont="1" applyNumberFormat="1">
      <alignment horizontal="center" vertical="center"/>
    </xf>
    <xf borderId="0" fillId="0" fontId="20" numFmtId="10" xfId="0" applyAlignment="1" applyFont="1" applyNumberFormat="1">
      <alignment horizontal="center" vertical="center"/>
    </xf>
    <xf borderId="0" fillId="0" fontId="1" numFmtId="10" xfId="0" applyAlignment="1" applyFont="1" applyNumberFormat="1">
      <alignment vertical="center"/>
    </xf>
    <xf borderId="0" fillId="0" fontId="3" numFmtId="16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0" fillId="0" fontId="16" numFmtId="10" xfId="0" applyAlignment="1" applyFont="1" applyNumberFormat="1">
      <alignment horizontal="center" vertical="center"/>
    </xf>
    <xf borderId="0" fillId="0" fontId="4" numFmtId="0" xfId="0" applyAlignment="1" applyFont="1">
      <alignment vertical="center"/>
    </xf>
    <xf borderId="0" fillId="0" fontId="3" numFmtId="166" xfId="0" applyAlignment="1" applyFont="1" applyNumberFormat="1">
      <alignment horizontal="center" vertical="center"/>
    </xf>
    <xf borderId="0" fillId="0" fontId="3" numFmtId="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20" numFmtId="164" xfId="0" applyAlignment="1" applyFont="1" applyNumberFormat="1">
      <alignment horizontal="left" textRotation="0" vertical="center"/>
    </xf>
    <xf borderId="0" fillId="0" fontId="20" numFmtId="164" xfId="0" applyAlignment="1" applyFont="1" applyNumberFormat="1">
      <alignment vertical="center"/>
    </xf>
    <xf borderId="0" fillId="0" fontId="20" numFmtId="164" xfId="0" applyAlignment="1" applyFont="1" applyNumberFormat="1">
      <alignment horizontal="center" vertical="center"/>
    </xf>
    <xf borderId="0" fillId="0" fontId="22" numFmtId="164" xfId="0" applyAlignment="1" applyFont="1" applyNumberFormat="1">
      <alignment horizontal="center" vertical="center"/>
    </xf>
    <xf borderId="0" fillId="0" fontId="9" numFmtId="164" xfId="0" applyAlignment="1" applyFont="1" applyNumberFormat="1">
      <alignment vertical="center"/>
    </xf>
    <xf borderId="0" fillId="0" fontId="9" numFmtId="164" xfId="0" applyAlignment="1" applyFont="1" applyNumberFormat="1">
      <alignment horizontal="center" vertical="center"/>
    </xf>
    <xf borderId="0" fillId="0" fontId="23" numFmtId="164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6" fontId="24" numFmtId="0" xfId="0" applyAlignment="1" applyFont="1">
      <alignment horizontal="center" readingOrder="0" vertical="center"/>
    </xf>
    <xf borderId="4" fillId="7" fontId="7" numFmtId="164" xfId="0" applyAlignment="1" applyBorder="1" applyFont="1" applyNumberFormat="1">
      <alignment vertical="center"/>
    </xf>
    <xf borderId="4" fillId="0" fontId="9" numFmtId="164" xfId="0" applyAlignment="1" applyBorder="1" applyFont="1" applyNumberFormat="1">
      <alignment vertical="center"/>
    </xf>
    <xf borderId="4" fillId="6" fontId="8" numFmtId="0" xfId="0" applyAlignment="1" applyBorder="1" applyFont="1">
      <alignment horizontal="center" readingOrder="0" vertical="center"/>
    </xf>
    <xf borderId="4" fillId="6" fontId="8" numFmtId="0" xfId="0" applyAlignment="1" applyBorder="1" applyFont="1">
      <alignment horizontal="center" vertical="center"/>
    </xf>
    <xf borderId="0" fillId="6" fontId="8" numFmtId="0" xfId="0" applyAlignment="1" applyFont="1">
      <alignment horizontal="center" vertical="center"/>
    </xf>
    <xf borderId="0" fillId="6" fontId="8" numFmtId="0" xfId="0" applyAlignment="1" applyFont="1">
      <alignment horizontal="center" readingOrder="0" vertical="center"/>
    </xf>
    <xf borderId="4" fillId="6" fontId="8" numFmtId="167" xfId="0" applyAlignment="1" applyBorder="1" applyFont="1" applyNumberFormat="1">
      <alignment horizontal="center" vertical="center"/>
    </xf>
    <xf borderId="0" fillId="6" fontId="8" numFmtId="167" xfId="0" applyAlignment="1" applyFont="1" applyNumberFormat="1">
      <alignment horizontal="center" vertical="center"/>
    </xf>
    <xf borderId="0" fillId="0" fontId="8" numFmtId="0" xfId="0" applyAlignment="1" applyFont="1">
      <alignment horizontal="center" shrinkToFit="0" vertical="center" wrapText="0"/>
    </xf>
    <xf borderId="0" fillId="0" fontId="14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0" fillId="0" fontId="25" numFmtId="0" xfId="0" applyAlignment="1" applyFont="1">
      <alignment horizontal="center" vertical="center"/>
    </xf>
    <xf borderId="0" fillId="0" fontId="24" numFmtId="0" xfId="0" applyAlignment="1" applyFont="1">
      <alignment horizontal="center" vertical="center"/>
    </xf>
    <xf borderId="0" fillId="5" fontId="1" numFmtId="166" xfId="0" applyAlignment="1" applyFont="1" applyNumberFormat="1">
      <alignment horizontal="center" vertical="center"/>
    </xf>
    <xf borderId="0" fillId="0" fontId="1" numFmtId="170" xfId="0" applyAlignment="1" applyFont="1" applyNumberFormat="1">
      <alignment vertical="center"/>
    </xf>
    <xf borderId="0" fillId="0" fontId="3" numFmtId="170" xfId="0" applyAlignment="1" applyFont="1" applyNumberFormat="1">
      <alignment vertical="center"/>
    </xf>
    <xf borderId="0" fillId="0" fontId="3" numFmtId="170" xfId="0" applyAlignment="1" applyFont="1" applyNumberFormat="1">
      <alignment horizontal="center" vertical="center"/>
    </xf>
    <xf borderId="0" fillId="0" fontId="2" numFmtId="170" xfId="0" applyAlignment="1" applyFont="1" applyNumberFormat="1">
      <alignment horizontal="left" vertical="center"/>
    </xf>
    <xf borderId="0" fillId="0" fontId="1" numFmtId="170" xfId="0" applyAlignment="1" applyFont="1" applyNumberFormat="1">
      <alignment horizontal="center" vertical="center"/>
    </xf>
    <xf borderId="0" fillId="0" fontId="1" numFmtId="166" xfId="0" applyAlignment="1" applyFont="1" applyNumberFormat="1">
      <alignment horizontal="center" readingOrder="0" vertical="center"/>
    </xf>
    <xf borderId="0" fillId="0" fontId="8" numFmtId="166" xfId="0" applyAlignment="1" applyFont="1" applyNumberFormat="1">
      <alignment horizontal="center" readingOrder="0" vertical="center"/>
    </xf>
    <xf borderId="0" fillId="0" fontId="2" numFmtId="3" xfId="0" applyAlignment="1" applyFont="1" applyNumberFormat="1">
      <alignment horizontal="center" readingOrder="0" shrinkToFit="0" vertical="center" wrapText="0"/>
    </xf>
    <xf borderId="0" fillId="0" fontId="26" numFmtId="166" xfId="0" applyAlignment="1" applyFont="1" applyNumberFormat="1">
      <alignment horizontal="center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15" numFmtId="170" xfId="0" applyAlignment="1" applyFont="1" applyNumberFormat="1">
      <alignment vertical="center"/>
    </xf>
    <xf borderId="0" fillId="0" fontId="9" numFmtId="170" xfId="0" applyAlignment="1" applyFont="1" applyNumberFormat="1">
      <alignment horizontal="left" vertical="center"/>
    </xf>
    <xf borderId="0" fillId="0" fontId="15" numFmtId="166" xfId="0" applyAlignment="1" applyFont="1" applyNumberFormat="1">
      <alignment horizontal="center" readingOrder="0" vertical="center"/>
    </xf>
    <xf borderId="0" fillId="0" fontId="15" numFmtId="3" xfId="0" applyAlignment="1" applyFont="1" applyNumberFormat="1">
      <alignment horizontal="center" readingOrder="0" shrinkToFit="0" vertical="center" wrapText="0"/>
    </xf>
    <xf borderId="0" fillId="0" fontId="2" numFmtId="166" xfId="0" applyAlignment="1" applyFont="1" applyNumberFormat="1">
      <alignment horizontal="center" readingOrder="0" shrinkToFit="0" vertical="center" wrapText="0"/>
    </xf>
    <xf borderId="0" fillId="0" fontId="15" numFmtId="166" xfId="0" applyAlignment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vertical="center"/>
    </xf>
    <xf borderId="0" fillId="0" fontId="8" numFmtId="2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readingOrder="0" vertical="center"/>
    </xf>
    <xf borderId="0" fillId="0" fontId="8" numFmtId="2" xfId="0" applyAlignment="1" applyFont="1" applyNumberFormat="1">
      <alignment horizontal="center" readingOrder="0" vertical="center"/>
    </xf>
    <xf borderId="0" fillId="0" fontId="3" numFmtId="10" xfId="0" applyAlignment="1" applyFont="1" applyNumberFormat="1">
      <alignment vertical="center"/>
    </xf>
    <xf borderId="0" fillId="0" fontId="11" numFmtId="9" xfId="0" applyAlignment="1" applyFont="1" applyNumberFormat="1">
      <alignment horizontal="center" vertical="center"/>
    </xf>
    <xf borderId="0" fillId="0" fontId="9" numFmtId="10" xfId="0" applyAlignment="1" applyFont="1" applyNumberFormat="1">
      <alignment horizontal="left" vertical="center"/>
    </xf>
    <xf borderId="0" fillId="0" fontId="15" numFmtId="0" xfId="0" applyAlignment="1" applyFont="1">
      <alignment horizontal="center" readingOrder="0" vertical="center"/>
    </xf>
    <xf borderId="0" fillId="0" fontId="15" numFmtId="10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5" numFmtId="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4" fillId="2" fontId="8" numFmtId="0" xfId="0" applyAlignment="1" applyBorder="1" applyFont="1">
      <alignment horizontal="center" vertical="center"/>
    </xf>
    <xf borderId="0" fillId="0" fontId="8" numFmtId="170" xfId="0" applyAlignment="1" applyFont="1" applyNumberFormat="1">
      <alignment vertical="center"/>
    </xf>
    <xf borderId="0" fillId="0" fontId="15" numFmtId="0" xfId="0" applyAlignment="1" applyFont="1">
      <alignment horizontal="center" readingOrder="0" shrinkToFit="0" vertical="center" wrapText="0"/>
    </xf>
    <xf borderId="4" fillId="2" fontId="3" numFmtId="0" xfId="0" applyAlignment="1" applyBorder="1" applyFont="1">
      <alignment vertical="center"/>
    </xf>
    <xf borderId="4" fillId="2" fontId="1" numFmtId="0" xfId="0" applyAlignment="1" applyBorder="1" applyFont="1">
      <alignment vertical="center"/>
    </xf>
    <xf borderId="4" fillId="0" fontId="3" numFmtId="164" xfId="0" applyAlignment="1" applyBorder="1" applyFont="1" applyNumberFormat="1">
      <alignment vertical="center"/>
    </xf>
    <xf borderId="4" fillId="7" fontId="7" numFmtId="166" xfId="0" applyAlignment="1" applyBorder="1" applyFont="1" applyNumberFormat="1">
      <alignment horizontal="center" vertical="center"/>
    </xf>
    <xf borderId="4" fillId="7" fontId="7" numFmtId="166" xfId="0" applyAlignment="1" applyBorder="1" applyFont="1" applyNumberFormat="1">
      <alignment horizontal="center" readingOrder="0" vertical="center"/>
    </xf>
    <xf borderId="0" fillId="0" fontId="7" numFmtId="166" xfId="0" applyAlignment="1" applyFont="1" applyNumberFormat="1">
      <alignment horizontal="center" vertical="center"/>
    </xf>
    <xf borderId="0" fillId="0" fontId="7" numFmtId="3" xfId="0" applyAlignment="1" applyFont="1" applyNumberFormat="1">
      <alignment horizontal="center" readingOrder="0" shrinkToFit="0" vertical="center" wrapText="0"/>
    </xf>
    <xf borderId="0" fillId="0" fontId="1" numFmtId="171" xfId="0" applyAlignment="1" applyFont="1" applyNumberFormat="1">
      <alignment horizontal="center" vertical="center"/>
    </xf>
    <xf borderId="0" fillId="0" fontId="3" numFmtId="171" xfId="0" applyAlignment="1" applyFont="1" applyNumberFormat="1">
      <alignment horizontal="center" vertical="center"/>
    </xf>
    <xf borderId="0" fillId="0" fontId="2" numFmtId="3" xfId="0" applyAlignment="1" applyFont="1" applyNumberFormat="1">
      <alignment horizontal="center" shrinkToFit="0" vertical="center" wrapText="0"/>
    </xf>
    <xf borderId="4" fillId="7" fontId="7" numFmtId="10" xfId="0" applyAlignment="1" applyBorder="1" applyFont="1" applyNumberFormat="1">
      <alignment vertical="center"/>
    </xf>
    <xf borderId="4" fillId="0" fontId="3" numFmtId="10" xfId="0" applyAlignment="1" applyBorder="1" applyFont="1" applyNumberFormat="1">
      <alignment vertical="center"/>
    </xf>
    <xf borderId="4" fillId="7" fontId="7" numFmtId="10" xfId="0" applyAlignment="1" applyBorder="1" applyFont="1" applyNumberFormat="1">
      <alignment horizontal="center" vertical="center"/>
    </xf>
    <xf borderId="4" fillId="7" fontId="7" numFmtId="10" xfId="0" applyAlignment="1" applyBorder="1" applyFont="1" applyNumberFormat="1">
      <alignment horizontal="center" readingOrder="0" vertical="center"/>
    </xf>
    <xf borderId="0" fillId="0" fontId="7" numFmtId="10" xfId="0" applyAlignment="1" applyFont="1" applyNumberFormat="1">
      <alignment horizontal="center" vertical="center"/>
    </xf>
    <xf borderId="0" fillId="0" fontId="7" numFmtId="10" xfId="0" applyAlignment="1" applyFont="1" applyNumberFormat="1">
      <alignment horizontal="center" readingOrder="0" shrinkToFit="0" vertical="center" wrapText="0"/>
    </xf>
    <xf borderId="0" fillId="0" fontId="26" numFmtId="10" xfId="0" applyAlignment="1" applyFont="1" applyNumberFormat="1">
      <alignment horizontal="center" vertical="center"/>
    </xf>
    <xf borderId="0" fillId="0" fontId="24" numFmtId="169" xfId="0" applyAlignment="1" applyFont="1" applyNumberFormat="1">
      <alignment horizontal="center" vertical="center"/>
    </xf>
    <xf borderId="4" fillId="2" fontId="1" numFmtId="170" xfId="0" applyAlignment="1" applyBorder="1" applyFont="1" applyNumberFormat="1">
      <alignment vertical="center"/>
    </xf>
    <xf borderId="0" fillId="0" fontId="21" numFmtId="170" xfId="0" applyAlignment="1" applyFont="1" applyNumberFormat="1">
      <alignment vertical="center"/>
    </xf>
    <xf borderId="0" fillId="2" fontId="21" numFmtId="166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2" fontId="4" numFmtId="167" xfId="0" applyAlignment="1" applyFont="1" applyNumberFormat="1">
      <alignment horizontal="center" vertical="center"/>
    </xf>
    <xf borderId="0" fillId="2" fontId="19" numFmtId="9" xfId="0" applyAlignment="1" applyFont="1" applyNumberFormat="1">
      <alignment horizontal="center" vertical="center"/>
    </xf>
    <xf borderId="0" fillId="0" fontId="21" numFmtId="166" xfId="0" applyAlignment="1" applyFont="1" applyNumberFormat="1">
      <alignment horizontal="center" vertical="center"/>
    </xf>
    <xf borderId="0" fillId="0" fontId="20" numFmtId="170" xfId="0" applyAlignment="1" applyFont="1" applyNumberFormat="1">
      <alignment horizontal="left" vertical="center"/>
    </xf>
    <xf borderId="0" fillId="0" fontId="27" numFmtId="166" xfId="0" applyAlignment="1" applyFont="1" applyNumberFormat="1">
      <alignment horizontal="center" vertical="center"/>
    </xf>
    <xf borderId="0" fillId="0" fontId="27" numFmtId="166" xfId="0" applyAlignment="1" applyFont="1" applyNumberFormat="1">
      <alignment horizontal="center" readingOrder="0" vertical="center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center" vertical="center"/>
    </xf>
    <xf borderId="4" fillId="7" fontId="7" numFmtId="170" xfId="0" applyAlignment="1" applyBorder="1" applyFont="1" applyNumberFormat="1">
      <alignment vertical="center"/>
    </xf>
    <xf borderId="4" fillId="0" fontId="3" numFmtId="170" xfId="0" applyAlignment="1" applyBorder="1" applyFont="1" applyNumberFormat="1">
      <alignment vertical="center"/>
    </xf>
    <xf borderId="0" fillId="0" fontId="28" numFmtId="166" xfId="0" applyAlignment="1" applyFont="1" applyNumberFormat="1">
      <alignment horizontal="center" vertical="center"/>
    </xf>
    <xf borderId="0" fillId="0" fontId="29" numFmtId="166" xfId="0" applyAlignment="1" applyFont="1" applyNumberFormat="1">
      <alignment horizontal="center" vertical="center"/>
    </xf>
    <xf borderId="0" fillId="0" fontId="25" numFmtId="166" xfId="0" applyAlignment="1" applyFont="1" applyNumberFormat="1">
      <alignment horizontal="center" vertical="center"/>
    </xf>
    <xf borderId="0" fillId="0" fontId="25" numFmtId="166" xfId="0" applyAlignment="1" applyFont="1" applyNumberFormat="1">
      <alignment horizontal="center" readingOrder="0" vertical="center"/>
    </xf>
    <xf borderId="0" fillId="0" fontId="1" numFmtId="172" xfId="0" applyAlignment="1" applyFont="1" applyNumberFormat="1">
      <alignment horizontal="center" vertical="center"/>
    </xf>
    <xf borderId="0" fillId="0" fontId="8" numFmtId="172" xfId="0" applyAlignment="1" applyFont="1" applyNumberFormat="1">
      <alignment horizontal="center" vertical="center"/>
    </xf>
    <xf borderId="0" fillId="0" fontId="1" numFmtId="172" xfId="0" applyAlignment="1" applyFont="1" applyNumberFormat="1">
      <alignment horizontal="center" readingOrder="0" vertical="center"/>
    </xf>
    <xf borderId="0" fillId="0" fontId="8" numFmtId="172" xfId="0" applyAlignment="1" applyFont="1" applyNumberFormat="1">
      <alignment horizontal="center" readingOrder="0" vertical="center"/>
    </xf>
    <xf borderId="4" fillId="2" fontId="3" numFmtId="9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0" fillId="0" fontId="3" numFmtId="9" xfId="0" applyAlignment="1" applyFont="1" applyNumberFormat="1">
      <alignment vertical="center"/>
    </xf>
    <xf borderId="0" fillId="0" fontId="1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left" vertical="center"/>
    </xf>
    <xf borderId="0" fillId="0" fontId="8" numFmtId="9" xfId="0" applyAlignment="1" applyFont="1" applyNumberFormat="1">
      <alignment horizontal="center" vertical="center"/>
    </xf>
    <xf borderId="0" fillId="0" fontId="1" numFmtId="169" xfId="0" applyAlignment="1" applyFont="1" applyNumberFormat="1">
      <alignment horizontal="center" vertical="center"/>
    </xf>
    <xf borderId="0" fillId="0" fontId="1" numFmtId="9" xfId="0" applyAlignment="1" applyFont="1" applyNumberFormat="1">
      <alignment horizontal="center" readingOrder="0" vertical="center"/>
    </xf>
    <xf borderId="0" fillId="0" fontId="8" numFmtId="9" xfId="0" applyAlignment="1" applyFont="1" applyNumberFormat="1">
      <alignment horizontal="center" readingOrder="0" vertical="center"/>
    </xf>
    <xf borderId="0" fillId="0" fontId="8" numFmtId="10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readingOrder="0" shrinkToFit="0" vertical="center" wrapText="0"/>
    </xf>
    <xf borderId="0" fillId="0" fontId="26" numFmtId="9" xfId="0" applyAlignment="1" applyFont="1" applyNumberFormat="1">
      <alignment horizontal="center" vertical="center"/>
    </xf>
    <xf borderId="0" fillId="0" fontId="2" numFmtId="9" xfId="0" applyAlignment="1" applyFont="1" applyNumberFormat="1">
      <alignment horizontal="center" shrinkToFit="0" vertical="center" wrapText="0"/>
    </xf>
    <xf borderId="4" fillId="7" fontId="7" numFmtId="0" xfId="0" applyAlignment="1" applyBorder="1" applyFont="1">
      <alignment vertical="center"/>
    </xf>
    <xf borderId="4" fillId="0" fontId="3" numFmtId="0" xfId="0" applyAlignment="1" applyBorder="1" applyFont="1">
      <alignment vertical="center"/>
    </xf>
    <xf borderId="0" fillId="0" fontId="8" numFmtId="1" xfId="0" applyAlignment="1" applyFont="1" applyNumberFormat="1">
      <alignment vertical="center"/>
    </xf>
    <xf borderId="0" fillId="0" fontId="3" numFmtId="1" xfId="0" applyAlignment="1" applyFont="1" applyNumberFormat="1">
      <alignment vertical="center"/>
    </xf>
    <xf borderId="0" fillId="2" fontId="3" numFmtId="1" xfId="0" applyAlignment="1" applyFont="1" applyNumberFormat="1">
      <alignment horizontal="center" vertical="center"/>
    </xf>
    <xf borderId="0" fillId="0" fontId="3" numFmtId="1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left" vertical="center"/>
    </xf>
    <xf borderId="0" fillId="2" fontId="1" numFmtId="2" xfId="0" applyAlignment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1" numFmtId="172" xfId="0" applyAlignment="1" applyFont="1" applyNumberFormat="1">
      <alignment horizontal="center" vertical="center"/>
    </xf>
    <xf borderId="0" fillId="2" fontId="3" numFmtId="170" xfId="0" applyAlignment="1" applyFont="1" applyNumberFormat="1">
      <alignment horizontal="center" vertical="center"/>
    </xf>
    <xf borderId="0" fillId="2" fontId="8" numFmtId="2" xfId="0" applyAlignment="1" applyFont="1" applyNumberFormat="1">
      <alignment horizontal="center" vertical="center"/>
    </xf>
    <xf borderId="0" fillId="2" fontId="18" numFmtId="9" xfId="0" applyAlignment="1" applyFont="1" applyNumberFormat="1">
      <alignment horizontal="center" vertical="center"/>
    </xf>
    <xf borderId="0" fillId="2" fontId="8" numFmtId="166" xfId="0" applyAlignment="1" applyFont="1" applyNumberFormat="1">
      <alignment horizontal="center" vertical="center"/>
    </xf>
    <xf borderId="0" fillId="0" fontId="9" numFmtId="0" xfId="0" applyAlignment="1" applyFont="1">
      <alignment horizontal="center" readingOrder="0" shrinkToFit="0" vertical="center" wrapText="0"/>
    </xf>
    <xf borderId="0" fillId="0" fontId="9" numFmtId="3" xfId="0" applyAlignment="1" applyFont="1" applyNumberFormat="1">
      <alignment horizontal="center" readingOrder="0" shrinkToFit="0" vertical="center" wrapText="0"/>
    </xf>
    <xf borderId="0" fillId="2" fontId="1" numFmtId="166" xfId="0" applyAlignment="1" applyFont="1" applyNumberFormat="1">
      <alignment horizontal="center" vertical="center"/>
    </xf>
    <xf borderId="0" fillId="0" fontId="1" numFmtId="170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4" numFmtId="10" xfId="0" applyAlignment="1" applyFont="1" applyNumberFormat="1">
      <alignment horizontal="center" vertical="center"/>
    </xf>
    <xf borderId="0" fillId="0" fontId="19" numFmtId="10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left" vertical="center"/>
    </xf>
    <xf borderId="0" fillId="0" fontId="1" numFmtId="10" xfId="0" applyAlignment="1" applyFont="1" applyNumberFormat="1">
      <alignment horizontal="center" readingOrder="0" vertical="center"/>
    </xf>
    <xf borderId="0" fillId="0" fontId="20" numFmtId="10" xfId="0" applyAlignment="1" applyFont="1" applyNumberFormat="1">
      <alignment horizontal="center" readingOrder="0" shrinkToFit="0" vertical="center" wrapText="0"/>
    </xf>
    <xf borderId="0" fillId="0" fontId="1" numFmtId="173" xfId="0" applyAlignment="1" applyFont="1" applyNumberFormat="1">
      <alignment horizontal="center" vertical="center"/>
    </xf>
    <xf borderId="0" fillId="0" fontId="3" numFmtId="173" xfId="0" applyAlignment="1" applyFont="1" applyNumberFormat="1">
      <alignment horizontal="center" vertical="center"/>
    </xf>
    <xf borderId="0" fillId="0" fontId="2" numFmtId="10" xfId="0" applyAlignment="1" applyFont="1" applyNumberFormat="1">
      <alignment horizontal="center" shrinkToFit="0" vertical="center" wrapText="0"/>
    </xf>
    <xf borderId="0" fillId="0" fontId="2" numFmtId="170" xfId="0" applyAlignment="1" applyFont="1" applyNumberFormat="1">
      <alignment vertical="center"/>
    </xf>
    <xf borderId="0" fillId="0" fontId="1" numFmtId="164" xfId="0" applyAlignment="1" applyFont="1" applyNumberFormat="1">
      <alignment vertical="center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0" numFmtId="0" xfId="0" applyAlignment="1" applyFont="1">
      <alignment vertical="center"/>
    </xf>
    <xf borderId="0" fillId="2" fontId="11" numFmtId="167" xfId="0" applyAlignment="1" applyFont="1" applyNumberFormat="1">
      <alignment horizontal="center" vertical="center"/>
    </xf>
    <xf borderId="0" fillId="0" fontId="31" numFmtId="0" xfId="0" applyAlignment="1" applyFont="1">
      <alignment horizontal="left" vertical="center"/>
    </xf>
    <xf borderId="0" fillId="0" fontId="20" numFmtId="3" xfId="0" applyAlignment="1" applyFont="1" applyNumberFormat="1">
      <alignment horizontal="center" readingOrder="0" shrinkToFit="0" vertical="center" wrapText="0"/>
    </xf>
    <xf borderId="0" fillId="0" fontId="20" numFmtId="170" xfId="0" applyAlignment="1" applyFont="1" applyNumberFormat="1">
      <alignment vertical="center"/>
    </xf>
    <xf borderId="0" fillId="0" fontId="32" numFmtId="0" xfId="0" applyAlignment="1" applyFont="1">
      <alignment vertical="center"/>
    </xf>
    <xf borderId="0" fillId="0" fontId="3" numFmtId="166" xfId="0" applyAlignment="1" applyFont="1" applyNumberFormat="1">
      <alignment vertical="center"/>
    </xf>
    <xf borderId="0" fillId="0" fontId="3" numFmtId="171" xfId="0" applyAlignment="1" applyFont="1" applyNumberFormat="1">
      <alignment vertical="center"/>
    </xf>
    <xf borderId="0" fillId="2" fontId="3" numFmtId="3" xfId="0" applyAlignment="1" applyFont="1" applyNumberFormat="1">
      <alignment vertical="center"/>
    </xf>
    <xf borderId="0" fillId="2" fontId="1" numFmtId="9" xfId="0" applyAlignment="1" applyFont="1" applyNumberFormat="1">
      <alignment horizontal="center" vertical="center"/>
    </xf>
    <xf borderId="0" fillId="2" fontId="3" numFmtId="9" xfId="0" applyAlignment="1" applyFont="1" applyNumberFormat="1">
      <alignment vertical="center"/>
    </xf>
    <xf borderId="0" fillId="0" fontId="33" numFmtId="9" xfId="0" applyAlignment="1" applyFont="1" applyNumberFormat="1">
      <alignment horizontal="center" vertical="center"/>
    </xf>
    <xf borderId="0" fillId="0" fontId="34" numFmtId="9" xfId="0" applyAlignment="1" applyFont="1" applyNumberFormat="1">
      <alignment horizontal="center" vertical="center"/>
    </xf>
    <xf borderId="0" fillId="0" fontId="35" numFmtId="9" xfId="0" applyAlignment="1" applyFont="1" applyNumberFormat="1">
      <alignment horizontal="center" vertical="center"/>
    </xf>
    <xf borderId="0" fillId="2" fontId="9" numFmtId="164" xfId="0" applyAlignment="1" applyFont="1" applyNumberFormat="1">
      <alignment horizontal="left" vertical="center"/>
    </xf>
    <xf borderId="0" fillId="2" fontId="1" numFmtId="0" xfId="0" applyAlignment="1" applyFont="1">
      <alignment vertical="center"/>
    </xf>
    <xf borderId="0" fillId="2" fontId="7" numFmtId="166" xfId="0" applyAlignment="1" applyFont="1" applyNumberFormat="1">
      <alignment horizontal="center" vertical="center"/>
    </xf>
    <xf borderId="0" fillId="2" fontId="1" numFmtId="0" xfId="0" applyAlignment="1" applyFont="1">
      <alignment horizontal="center" vertical="center"/>
    </xf>
    <xf borderId="4" fillId="0" fontId="3" numFmtId="166" xfId="0" applyAlignment="1" applyBorder="1" applyFont="1" applyNumberFormat="1">
      <alignment horizontal="center" vertical="center"/>
    </xf>
    <xf borderId="0" fillId="0" fontId="3" numFmtId="167" xfId="0" applyAlignment="1" applyFont="1" applyNumberForma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4" fillId="0" fontId="3" numFmtId="166" xfId="0" applyAlignment="1" applyBorder="1" applyFont="1" applyNumberFormat="1">
      <alignment vertical="center"/>
    </xf>
    <xf borderId="0" fillId="0" fontId="13" numFmtId="9" xfId="0" applyAlignment="1" applyFont="1" applyNumberFormat="1">
      <alignment horizontal="center" vertical="center"/>
    </xf>
    <xf borderId="0" fillId="0" fontId="16" numFmtId="9" xfId="0" applyAlignment="1" applyFont="1" applyNumberFormat="1">
      <alignment vertical="center"/>
    </xf>
    <xf borderId="0" fillId="0" fontId="20" numFmtId="9" xfId="0" applyAlignment="1" applyFont="1" applyNumberFormat="1">
      <alignment horizontal="left" vertical="center"/>
    </xf>
    <xf borderId="0" fillId="0" fontId="21" numFmtId="9" xfId="0" applyAlignment="1" applyFont="1" applyNumberFormat="1">
      <alignment horizontal="center" vertical="center"/>
    </xf>
    <xf borderId="0" fillId="0" fontId="21" numFmtId="9" xfId="0" applyAlignment="1" applyFont="1" applyNumberFormat="1">
      <alignment horizontal="center" readingOrder="0" vertical="center"/>
    </xf>
    <xf borderId="0" fillId="0" fontId="20" numFmtId="9" xfId="0" applyAlignment="1" applyFont="1" applyNumberFormat="1">
      <alignment horizontal="center" readingOrder="0" shrinkToFit="0" vertical="center" wrapText="0"/>
    </xf>
    <xf borderId="0" fillId="7" fontId="7" numFmtId="166" xfId="0" applyAlignment="1" applyFont="1" applyNumberFormat="1">
      <alignment horizontal="center" vertical="center"/>
    </xf>
    <xf borderId="0" fillId="0" fontId="8" numFmtId="167" xfId="0" applyAlignment="1" applyFont="1" applyNumberFormat="1">
      <alignment horizontal="center" vertical="center"/>
    </xf>
    <xf borderId="0" fillId="0" fontId="7" numFmtId="9" xfId="0" applyAlignment="1" applyFont="1" applyNumberFormat="1">
      <alignment horizontal="center" vertical="center"/>
    </xf>
    <xf borderId="4" fillId="7" fontId="1" numFmtId="166" xfId="0" applyAlignment="1" applyBorder="1" applyFont="1" applyNumberFormat="1">
      <alignment horizontal="center" vertical="center"/>
    </xf>
    <xf borderId="0" fillId="0" fontId="4" numFmtId="170" xfId="0" applyAlignment="1" applyFont="1" applyNumberFormat="1">
      <alignment horizontal="center" vertical="center"/>
    </xf>
    <xf borderId="0" fillId="0" fontId="36" numFmtId="9" xfId="0" applyAlignment="1" applyFont="1" applyNumberFormat="1">
      <alignment horizontal="center" vertical="center"/>
    </xf>
    <xf borderId="0" fillId="0" fontId="37" numFmtId="9" xfId="0" applyAlignment="1" applyFont="1" applyNumberFormat="1">
      <alignment horizontal="center" vertical="center"/>
    </xf>
    <xf borderId="4" fillId="2" fontId="1" numFmtId="0" xfId="0" applyAlignment="1" applyBorder="1" applyFont="1">
      <alignment vertical="center"/>
    </xf>
    <xf borderId="0" fillId="0" fontId="2" numFmtId="0" xfId="0" applyAlignment="1" applyFont="1">
      <alignment horizontal="right" vertical="center"/>
    </xf>
  </cellXfs>
  <cellStyles count="1">
    <cellStyle xfId="0" name="Normal" builtinId="0"/>
  </cellStyles>
  <dxfs count="6">
    <dxf>
      <font>
        <color rgb="FFFF0000"/>
      </font>
      <fill>
        <patternFill patternType="solid">
          <fgColor rgb="FFFFE599"/>
          <bgColor rgb="FFFFE599"/>
        </patternFill>
      </fill>
      <border/>
    </dxf>
    <dxf>
      <font>
        <color rgb="FFFF0000"/>
      </font>
      <fill>
        <patternFill patternType="solid">
          <fgColor rgb="FFFFFF00"/>
          <bgColor rgb="FFFFFF00"/>
        </patternFill>
      </fill>
      <border/>
    </dxf>
    <dxf>
      <font>
        <color rgb="FF93C47D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FFFFFF"/>
      </font>
      <fill>
        <patternFill patternType="none"/>
      </fill>
      <border/>
    </dxf>
    <dxf>
      <font>
        <color rgb="FFFFFFFF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1910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 outlineLevelCol="3" outlineLevelRow="3"/>
  <cols>
    <col customWidth="1" min="1" max="1" width="5.88"/>
    <col customWidth="1" min="2" max="2" width="30.63"/>
    <col customWidth="1" min="3" max="3" width="2.5"/>
    <col customWidth="1" min="4" max="7" width="7.63" outlineLevel="3"/>
    <col customWidth="1" min="8" max="8" width="2.0" outlineLevel="2"/>
    <col customWidth="1" min="9" max="11" width="5.25" outlineLevel="3"/>
    <col customWidth="1" min="12" max="12" width="6.88" outlineLevel="3"/>
    <col customWidth="1" min="13" max="13" width="5.75" outlineLevel="3"/>
    <col customWidth="1" min="14" max="14" width="5.25" outlineLevel="3"/>
    <col customWidth="1" min="15" max="15" width="2.88" outlineLevel="1"/>
    <col customWidth="1" min="16" max="18" width="7.63" outlineLevel="3"/>
    <col customWidth="1" min="19" max="19" width="1.75" outlineLevel="2"/>
    <col customWidth="1" min="20" max="20" width="9.38" outlineLevel="3"/>
    <col customWidth="1" min="21" max="23" width="5.25" outlineLevel="3"/>
    <col customWidth="1" min="24" max="24" width="2.88" outlineLevel="1"/>
    <col customWidth="1" min="25" max="25" width="9.13" outlineLevel="3"/>
    <col customWidth="1" min="26" max="26" width="7.63" outlineLevel="3"/>
    <col customWidth="1" min="27" max="27" width="8.25" outlineLevel="3"/>
    <col customWidth="1" min="28" max="28" width="7.63" outlineLevel="3"/>
    <col collapsed="1" customWidth="1" min="29" max="29" width="1.88" outlineLevel="2"/>
    <col customWidth="1" min="30" max="31" width="5.25" outlineLevel="3"/>
    <col customWidth="1" min="32" max="32" width="6.13" outlineLevel="3"/>
    <col customWidth="1" min="33" max="33" width="5.25" outlineLevel="3"/>
    <col customWidth="1" min="34" max="34" width="4.0"/>
    <col customWidth="1" min="35" max="47" width="8.63" outlineLevel="1"/>
    <col customWidth="1" min="48" max="48" width="4.0"/>
    <col customWidth="1" min="49" max="60" width="8.63" outlineLevel="1"/>
    <col customWidth="1" min="61" max="61" width="9.75" outlineLevel="1"/>
    <col customWidth="1" min="62" max="62" width="4.0"/>
    <col customWidth="1" min="63" max="75" width="8.63" outlineLevel="1"/>
    <col customWidth="1" min="76" max="76" width="3.13"/>
    <col customWidth="1" min="77" max="89" width="8.63" outlineLevel="1"/>
    <col customWidth="1" min="90" max="90" width="3.0"/>
    <col customWidth="1" min="91" max="103" width="8.63" outlineLevel="1"/>
    <col customWidth="1" min="104" max="104" width="3.25"/>
    <col customWidth="1" min="105" max="117" width="8.63" outlineLevel="1"/>
    <col customWidth="1" min="118" max="121" width="4.5"/>
  </cols>
  <sheetData>
    <row r="1" ht="9.75" customHeight="1">
      <c r="A1" s="1"/>
      <c r="B1" s="1"/>
      <c r="C1" s="2"/>
      <c r="D1" s="3"/>
      <c r="E1" s="3"/>
      <c r="F1" s="3"/>
      <c r="G1" s="3"/>
      <c r="H1" s="4"/>
      <c r="I1" s="5"/>
      <c r="J1" s="5"/>
      <c r="K1" s="5"/>
      <c r="L1" s="5"/>
      <c r="M1" s="5"/>
      <c r="N1" s="5"/>
      <c r="O1" s="3"/>
      <c r="P1" s="3"/>
      <c r="Q1" s="3"/>
      <c r="R1" s="3"/>
      <c r="S1" s="3"/>
      <c r="T1" s="5"/>
      <c r="U1" s="5"/>
      <c r="V1" s="5"/>
      <c r="W1" s="5"/>
      <c r="X1" s="3"/>
      <c r="Y1" s="4"/>
      <c r="Z1" s="4"/>
      <c r="AA1" s="4"/>
      <c r="AB1" s="6"/>
      <c r="AC1" s="7"/>
      <c r="AD1" s="5"/>
      <c r="AE1" s="5"/>
      <c r="AF1" s="5"/>
      <c r="AG1" s="5"/>
      <c r="AH1" s="8"/>
      <c r="AI1" s="9" t="b">
        <f t="shared" ref="AI1:AT1" si="1">CM3=AI3</f>
        <v>0</v>
      </c>
      <c r="AJ1" s="9" t="b">
        <f t="shared" si="1"/>
        <v>0</v>
      </c>
      <c r="AK1" s="9" t="b">
        <f t="shared" si="1"/>
        <v>0</v>
      </c>
      <c r="AL1" s="9" t="b">
        <f t="shared" si="1"/>
        <v>0</v>
      </c>
      <c r="AM1" s="9" t="b">
        <f t="shared" si="1"/>
        <v>0</v>
      </c>
      <c r="AN1" s="9" t="b">
        <f t="shared" si="1"/>
        <v>0</v>
      </c>
      <c r="AO1" s="9" t="b">
        <f t="shared" si="1"/>
        <v>0</v>
      </c>
      <c r="AP1" s="9" t="b">
        <f t="shared" si="1"/>
        <v>0</v>
      </c>
      <c r="AQ1" s="9" t="b">
        <f t="shared" si="1"/>
        <v>0</v>
      </c>
      <c r="AR1" s="9" t="b">
        <f t="shared" si="1"/>
        <v>0</v>
      </c>
      <c r="AS1" s="9" t="b">
        <f t="shared" si="1"/>
        <v>0</v>
      </c>
      <c r="AT1" s="9" t="b">
        <f t="shared" si="1"/>
        <v>0</v>
      </c>
      <c r="AU1" s="10">
        <f>IF(COUNTIF(AI1:AT1,"FALSE")=(12-$D$2),0,COUNTIF(AI1:AT1,"FALSE"))</f>
        <v>12</v>
      </c>
      <c r="AV1" s="11"/>
      <c r="AW1" s="9" t="b">
        <f t="shared" ref="AW1:BH1" si="2">CM3=AW3</f>
        <v>0</v>
      </c>
      <c r="AX1" s="9" t="b">
        <f t="shared" si="2"/>
        <v>0</v>
      </c>
      <c r="AY1" s="9" t="b">
        <f t="shared" si="2"/>
        <v>0</v>
      </c>
      <c r="AZ1" s="9" t="b">
        <f t="shared" si="2"/>
        <v>0</v>
      </c>
      <c r="BA1" s="9" t="b">
        <f t="shared" si="2"/>
        <v>0</v>
      </c>
      <c r="BB1" s="9" t="b">
        <f t="shared" si="2"/>
        <v>0</v>
      </c>
      <c r="BC1" s="9" t="b">
        <f t="shared" si="2"/>
        <v>0</v>
      </c>
      <c r="BD1" s="9" t="b">
        <f t="shared" si="2"/>
        <v>0</v>
      </c>
      <c r="BE1" s="9" t="b">
        <f t="shared" si="2"/>
        <v>0</v>
      </c>
      <c r="BF1" s="9" t="b">
        <f t="shared" si="2"/>
        <v>0</v>
      </c>
      <c r="BG1" s="9" t="b">
        <f t="shared" si="2"/>
        <v>0</v>
      </c>
      <c r="BH1" s="9" t="b">
        <f t="shared" si="2"/>
        <v>0</v>
      </c>
      <c r="BI1" s="10">
        <f>IF(COUNTIF(AW1:BH1,"FALSE")=(12-$D$2),0,COUNTIF(AW1:BH1,"FALSE"))</f>
        <v>12</v>
      </c>
      <c r="BJ1" s="12"/>
      <c r="BK1" s="4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"/>
      <c r="BY1" s="13">
        <v>1.0</v>
      </c>
      <c r="BZ1" s="7">
        <v>2.0</v>
      </c>
      <c r="CA1" s="7">
        <v>3.0</v>
      </c>
      <c r="CB1" s="7">
        <v>4.0</v>
      </c>
      <c r="CC1" s="7">
        <v>5.0</v>
      </c>
      <c r="CD1" s="7">
        <v>6.0</v>
      </c>
      <c r="CE1" s="7">
        <v>7.0</v>
      </c>
      <c r="CF1" s="14">
        <v>8.0</v>
      </c>
      <c r="CG1" s="14">
        <v>9.0</v>
      </c>
      <c r="CH1" s="14">
        <v>10.0</v>
      </c>
      <c r="CI1" s="14">
        <v>11.0</v>
      </c>
      <c r="CJ1" s="14">
        <v>12.0</v>
      </c>
      <c r="CK1" s="15"/>
      <c r="CL1" s="16"/>
      <c r="CM1" s="7" t="str">
        <f>IFERROR(__xludf.DUMMYFUNCTION("IMPORTRANGE(""https://docs.google.com/spreadsheets/d/1uPWNufMEGSTfJLF4XVNmJ0hVytxBzPAgfhkjds-sXYE/edit?usp=sharing"",""SRM!CM1:CY283"")"),"#REF!")</f>
        <v>#REF!</v>
      </c>
      <c r="CN1" s="7"/>
      <c r="CO1" s="7"/>
      <c r="CP1" s="7"/>
      <c r="CQ1" s="7"/>
      <c r="CR1" s="7"/>
      <c r="CS1" s="7"/>
      <c r="CT1" s="14"/>
      <c r="CU1" s="14"/>
      <c r="CV1" s="14"/>
      <c r="CW1" s="14"/>
      <c r="CX1" s="14"/>
      <c r="CY1" s="11"/>
      <c r="CZ1" s="11"/>
      <c r="DA1" s="13">
        <v>1.0</v>
      </c>
      <c r="DB1" s="7">
        <v>2.0</v>
      </c>
      <c r="DC1" s="7">
        <v>3.0</v>
      </c>
      <c r="DD1" s="7">
        <v>4.0</v>
      </c>
      <c r="DE1" s="7">
        <v>5.0</v>
      </c>
      <c r="DF1" s="7">
        <v>6.0</v>
      </c>
      <c r="DG1" s="7">
        <v>7.0</v>
      </c>
      <c r="DH1" s="14">
        <v>8.0</v>
      </c>
      <c r="DI1" s="14">
        <v>9.0</v>
      </c>
      <c r="DJ1" s="14">
        <v>10.0</v>
      </c>
      <c r="DK1" s="14">
        <v>11.0</v>
      </c>
      <c r="DL1" s="14">
        <v>12.0</v>
      </c>
      <c r="DM1" s="17"/>
      <c r="DN1" s="1"/>
      <c r="DO1" s="18"/>
      <c r="DP1" s="18"/>
      <c r="DQ1" s="1"/>
    </row>
    <row r="2">
      <c r="A2" s="1"/>
      <c r="B2" s="19" t="s">
        <v>0</v>
      </c>
      <c r="C2" s="20"/>
      <c r="D2" s="21">
        <v>6.0</v>
      </c>
      <c r="E2" s="22"/>
      <c r="F2" s="22"/>
      <c r="G2" s="22"/>
      <c r="H2" s="4"/>
      <c r="I2" s="23" t="s">
        <v>1</v>
      </c>
      <c r="O2" s="4"/>
      <c r="P2" s="24" t="str">
        <f>CONCATENATE("&lt;=",$D$2)</f>
        <v>&lt;=6</v>
      </c>
      <c r="Q2" s="24"/>
      <c r="R2" s="24"/>
      <c r="S2" s="4"/>
      <c r="T2" s="23" t="s">
        <v>2</v>
      </c>
      <c r="X2" s="4"/>
      <c r="Y2" s="25"/>
      <c r="Z2" s="26"/>
      <c r="AA2" s="26"/>
      <c r="AB2" s="26"/>
      <c r="AC2" s="17"/>
      <c r="AD2" s="23" t="s">
        <v>3</v>
      </c>
      <c r="AH2" s="12"/>
      <c r="AI2" s="27" t="s">
        <v>4</v>
      </c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8"/>
      <c r="AV2" s="11"/>
      <c r="AW2" s="27" t="s">
        <v>5</v>
      </c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8"/>
      <c r="BJ2" s="12"/>
      <c r="BK2" s="29" t="s">
        <v>6</v>
      </c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8"/>
      <c r="BX2" s="1"/>
      <c r="BY2" s="27" t="s">
        <v>7</v>
      </c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8"/>
      <c r="CL2" s="11"/>
      <c r="CM2" s="29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8"/>
      <c r="CZ2" s="11"/>
      <c r="DA2" s="27" t="s">
        <v>8</v>
      </c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8"/>
      <c r="DN2" s="1"/>
      <c r="DO2" s="18"/>
      <c r="DP2" s="18"/>
      <c r="DQ2" s="1"/>
    </row>
    <row r="3">
      <c r="A3" s="1"/>
      <c r="B3" s="30" t="s">
        <v>9</v>
      </c>
      <c r="C3" s="20"/>
      <c r="D3" s="31" t="str">
        <f>IFERROR(HLOOKUP($D$2,$CM$1:$CX$4,4,FALSE),"No Selection")</f>
        <v>No Selection</v>
      </c>
      <c r="H3" s="17"/>
      <c r="I3" s="32" t="s">
        <v>10</v>
      </c>
      <c r="K3" s="32" t="s">
        <v>11</v>
      </c>
      <c r="M3" s="32" t="s">
        <v>12</v>
      </c>
      <c r="O3" s="17"/>
      <c r="P3" s="33" t="s">
        <v>13</v>
      </c>
      <c r="S3" s="17"/>
      <c r="T3" s="32" t="s">
        <v>11</v>
      </c>
      <c r="V3" s="32" t="s">
        <v>12</v>
      </c>
      <c r="X3" s="17"/>
      <c r="Y3" s="33" t="s">
        <v>14</v>
      </c>
      <c r="AC3" s="17"/>
      <c r="AD3" s="32" t="s">
        <v>15</v>
      </c>
      <c r="AF3" s="32" t="s">
        <v>16</v>
      </c>
      <c r="AH3" s="12"/>
      <c r="AI3" s="25" t="s">
        <v>17</v>
      </c>
      <c r="AJ3" s="25" t="s">
        <v>17</v>
      </c>
      <c r="AK3" s="25" t="s">
        <v>17</v>
      </c>
      <c r="AL3" s="25" t="s">
        <v>17</v>
      </c>
      <c r="AM3" s="25" t="s">
        <v>17</v>
      </c>
      <c r="AN3" s="25" t="s">
        <v>17</v>
      </c>
      <c r="AO3" s="25" t="s">
        <v>18</v>
      </c>
      <c r="AP3" s="25" t="s">
        <v>18</v>
      </c>
      <c r="AQ3" s="25" t="s">
        <v>18</v>
      </c>
      <c r="AR3" s="25" t="s">
        <v>19</v>
      </c>
      <c r="AS3" s="25" t="s">
        <v>19</v>
      </c>
      <c r="AT3" s="25" t="s">
        <v>19</v>
      </c>
      <c r="AU3" s="34" t="s">
        <v>20</v>
      </c>
      <c r="AV3" s="11"/>
      <c r="AW3" s="25" t="s">
        <v>17</v>
      </c>
      <c r="AX3" s="25" t="s">
        <v>17</v>
      </c>
      <c r="AY3" s="25" t="s">
        <v>17</v>
      </c>
      <c r="AZ3" s="25" t="s">
        <v>17</v>
      </c>
      <c r="BA3" s="25" t="s">
        <v>17</v>
      </c>
      <c r="BB3" s="25" t="s">
        <v>17</v>
      </c>
      <c r="BC3" s="34" t="s">
        <v>19</v>
      </c>
      <c r="BD3" s="34" t="s">
        <v>19</v>
      </c>
      <c r="BE3" s="34" t="s">
        <v>19</v>
      </c>
      <c r="BF3" s="34" t="s">
        <v>19</v>
      </c>
      <c r="BG3" s="34" t="s">
        <v>19</v>
      </c>
      <c r="BH3" s="34" t="s">
        <v>19</v>
      </c>
      <c r="BI3" s="25" t="s">
        <v>21</v>
      </c>
      <c r="BJ3" s="12"/>
      <c r="BK3" s="25" t="s">
        <v>19</v>
      </c>
      <c r="BL3" s="25" t="s">
        <v>19</v>
      </c>
      <c r="BM3" s="25" t="s">
        <v>19</v>
      </c>
      <c r="BN3" s="25" t="s">
        <v>19</v>
      </c>
      <c r="BO3" s="25" t="s">
        <v>19</v>
      </c>
      <c r="BP3" s="25" t="s">
        <v>19</v>
      </c>
      <c r="BQ3" s="25" t="s">
        <v>19</v>
      </c>
      <c r="BR3" s="25" t="s">
        <v>19</v>
      </c>
      <c r="BS3" s="25" t="s">
        <v>19</v>
      </c>
      <c r="BT3" s="25" t="s">
        <v>19</v>
      </c>
      <c r="BU3" s="25" t="s">
        <v>19</v>
      </c>
      <c r="BV3" s="25" t="s">
        <v>19</v>
      </c>
      <c r="BW3" s="25" t="s">
        <v>19</v>
      </c>
      <c r="BX3" s="15"/>
      <c r="BY3" s="34" t="s">
        <v>17</v>
      </c>
      <c r="BZ3" s="34" t="s">
        <v>17</v>
      </c>
      <c r="CA3" s="34" t="s">
        <v>17</v>
      </c>
      <c r="CB3" s="34" t="s">
        <v>17</v>
      </c>
      <c r="CC3" s="34" t="s">
        <v>17</v>
      </c>
      <c r="CD3" s="34" t="s">
        <v>17</v>
      </c>
      <c r="CE3" s="34" t="s">
        <v>17</v>
      </c>
      <c r="CF3" s="34" t="s">
        <v>17</v>
      </c>
      <c r="CG3" s="34" t="s">
        <v>17</v>
      </c>
      <c r="CH3" s="34" t="s">
        <v>17</v>
      </c>
      <c r="CI3" s="34" t="s">
        <v>17</v>
      </c>
      <c r="CJ3" s="34" t="s">
        <v>17</v>
      </c>
      <c r="CK3" s="34" t="s">
        <v>17</v>
      </c>
      <c r="CL3" s="1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11"/>
      <c r="DA3" s="34" t="s">
        <v>18</v>
      </c>
      <c r="DB3" s="34" t="s">
        <v>18</v>
      </c>
      <c r="DC3" s="34" t="s">
        <v>18</v>
      </c>
      <c r="DD3" s="34" t="s">
        <v>18</v>
      </c>
      <c r="DE3" s="34" t="s">
        <v>18</v>
      </c>
      <c r="DF3" s="34" t="s">
        <v>18</v>
      </c>
      <c r="DG3" s="34" t="s">
        <v>18</v>
      </c>
      <c r="DH3" s="34" t="s">
        <v>18</v>
      </c>
      <c r="DI3" s="34" t="s">
        <v>18</v>
      </c>
      <c r="DJ3" s="34" t="s">
        <v>18</v>
      </c>
      <c r="DK3" s="34" t="s">
        <v>18</v>
      </c>
      <c r="DL3" s="34" t="s">
        <v>18</v>
      </c>
      <c r="DM3" s="34" t="s">
        <v>18</v>
      </c>
      <c r="DN3" s="1"/>
      <c r="DO3" s="1"/>
      <c r="DP3" s="1"/>
      <c r="DQ3" s="1"/>
    </row>
    <row r="4">
      <c r="A4" s="1"/>
      <c r="B4" s="30" t="s">
        <v>22</v>
      </c>
      <c r="C4" s="20"/>
      <c r="D4" s="35" t="s">
        <v>9</v>
      </c>
      <c r="E4" s="35" t="s">
        <v>8</v>
      </c>
      <c r="F4" s="35" t="s">
        <v>6</v>
      </c>
      <c r="G4" s="35" t="s">
        <v>7</v>
      </c>
      <c r="H4" s="36"/>
      <c r="I4" s="32" t="s">
        <v>23</v>
      </c>
      <c r="J4" s="37" t="s">
        <v>24</v>
      </c>
      <c r="K4" s="32" t="s">
        <v>23</v>
      </c>
      <c r="L4" s="32" t="s">
        <v>24</v>
      </c>
      <c r="M4" s="32" t="s">
        <v>23</v>
      </c>
      <c r="N4" s="32" t="s">
        <v>24</v>
      </c>
      <c r="O4" s="17"/>
      <c r="P4" s="35" t="s">
        <v>9</v>
      </c>
      <c r="Q4" s="35" t="s">
        <v>6</v>
      </c>
      <c r="R4" s="35" t="s">
        <v>7</v>
      </c>
      <c r="S4" s="17"/>
      <c r="T4" s="32" t="s">
        <v>23</v>
      </c>
      <c r="U4" s="32" t="s">
        <v>24</v>
      </c>
      <c r="V4" s="32" t="s">
        <v>23</v>
      </c>
      <c r="W4" s="32" t="s">
        <v>24</v>
      </c>
      <c r="X4" s="17"/>
      <c r="Y4" s="35" t="s">
        <v>4</v>
      </c>
      <c r="Z4" s="35" t="s">
        <v>5</v>
      </c>
      <c r="AA4" s="35" t="s">
        <v>6</v>
      </c>
      <c r="AB4" s="35" t="s">
        <v>7</v>
      </c>
      <c r="AC4" s="17"/>
      <c r="AD4" s="32" t="s">
        <v>23</v>
      </c>
      <c r="AE4" s="32" t="s">
        <v>24</v>
      </c>
      <c r="AF4" s="32" t="s">
        <v>23</v>
      </c>
      <c r="AG4" s="32" t="s">
        <v>24</v>
      </c>
      <c r="AH4" s="12"/>
      <c r="AI4" s="38">
        <v>46023.0</v>
      </c>
      <c r="AJ4" s="38">
        <v>46054.0</v>
      </c>
      <c r="AK4" s="38">
        <v>46082.0</v>
      </c>
      <c r="AL4" s="38">
        <v>46113.0</v>
      </c>
      <c r="AM4" s="38">
        <v>46143.0</v>
      </c>
      <c r="AN4" s="38">
        <v>46174.0</v>
      </c>
      <c r="AO4" s="38">
        <v>46204.0</v>
      </c>
      <c r="AP4" s="38">
        <v>46235.0</v>
      </c>
      <c r="AQ4" s="38">
        <v>46266.0</v>
      </c>
      <c r="AR4" s="38">
        <v>46296.0</v>
      </c>
      <c r="AS4" s="38">
        <v>46327.0</v>
      </c>
      <c r="AT4" s="38">
        <v>46357.0</v>
      </c>
      <c r="AU4" s="39">
        <v>2026.0</v>
      </c>
      <c r="AV4" s="11"/>
      <c r="AW4" s="38">
        <v>46023.0</v>
      </c>
      <c r="AX4" s="38">
        <v>46054.0</v>
      </c>
      <c r="AY4" s="38">
        <v>46082.0</v>
      </c>
      <c r="AZ4" s="38">
        <v>46113.0</v>
      </c>
      <c r="BA4" s="38">
        <v>46143.0</v>
      </c>
      <c r="BB4" s="38">
        <v>46174.0</v>
      </c>
      <c r="BC4" s="38">
        <v>46204.0</v>
      </c>
      <c r="BD4" s="38">
        <v>46235.0</v>
      </c>
      <c r="BE4" s="38">
        <v>46266.0</v>
      </c>
      <c r="BF4" s="38">
        <v>46296.0</v>
      </c>
      <c r="BG4" s="38">
        <v>46327.0</v>
      </c>
      <c r="BH4" s="38">
        <v>46357.0</v>
      </c>
      <c r="BI4" s="39">
        <v>2026.0</v>
      </c>
      <c r="BJ4" s="12"/>
      <c r="BK4" s="40">
        <v>46023.0</v>
      </c>
      <c r="BL4" s="40">
        <v>46054.0</v>
      </c>
      <c r="BM4" s="40">
        <v>46082.0</v>
      </c>
      <c r="BN4" s="40">
        <v>46113.0</v>
      </c>
      <c r="BO4" s="40">
        <v>46143.0</v>
      </c>
      <c r="BP4" s="40">
        <v>46174.0</v>
      </c>
      <c r="BQ4" s="40">
        <v>46204.0</v>
      </c>
      <c r="BR4" s="40">
        <v>46235.0</v>
      </c>
      <c r="BS4" s="40">
        <v>46266.0</v>
      </c>
      <c r="BT4" s="40">
        <v>46296.0</v>
      </c>
      <c r="BU4" s="40">
        <v>46327.0</v>
      </c>
      <c r="BV4" s="40">
        <v>46357.0</v>
      </c>
      <c r="BW4" s="41">
        <v>2026.0</v>
      </c>
      <c r="BX4" s="42"/>
      <c r="BY4" s="38">
        <v>45658.0</v>
      </c>
      <c r="BZ4" s="38">
        <v>45689.0</v>
      </c>
      <c r="CA4" s="38">
        <v>45717.0</v>
      </c>
      <c r="CB4" s="38">
        <v>45748.0</v>
      </c>
      <c r="CC4" s="38">
        <v>45778.0</v>
      </c>
      <c r="CD4" s="38">
        <v>45809.0</v>
      </c>
      <c r="CE4" s="38">
        <v>45839.0</v>
      </c>
      <c r="CF4" s="38">
        <v>45870.0</v>
      </c>
      <c r="CG4" s="38">
        <v>45901.0</v>
      </c>
      <c r="CH4" s="38">
        <v>45931.0</v>
      </c>
      <c r="CI4" s="38">
        <v>45962.0</v>
      </c>
      <c r="CJ4" s="38">
        <v>45992.0</v>
      </c>
      <c r="CK4" s="39">
        <v>2025.0</v>
      </c>
      <c r="CL4" s="43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1"/>
      <c r="CZ4" s="42"/>
      <c r="DA4" s="38">
        <v>46023.0</v>
      </c>
      <c r="DB4" s="38">
        <v>46054.0</v>
      </c>
      <c r="DC4" s="38">
        <v>46082.0</v>
      </c>
      <c r="DD4" s="38">
        <v>46113.0</v>
      </c>
      <c r="DE4" s="38">
        <v>46143.0</v>
      </c>
      <c r="DF4" s="38">
        <v>46174.0</v>
      </c>
      <c r="DG4" s="38">
        <v>46204.0</v>
      </c>
      <c r="DH4" s="38">
        <v>46235.0</v>
      </c>
      <c r="DI4" s="38">
        <v>46266.0</v>
      </c>
      <c r="DJ4" s="38">
        <v>46296.0</v>
      </c>
      <c r="DK4" s="38">
        <v>46327.0</v>
      </c>
      <c r="DL4" s="38">
        <v>46357.0</v>
      </c>
      <c r="DM4" s="39">
        <v>2026.0</v>
      </c>
      <c r="DN4" s="42"/>
      <c r="DO4" s="44"/>
      <c r="DP4" s="44"/>
      <c r="DQ4" s="45"/>
    </row>
    <row r="5">
      <c r="A5" s="1"/>
      <c r="B5" s="1"/>
      <c r="C5" s="2"/>
      <c r="D5" s="2"/>
      <c r="E5" s="2"/>
      <c r="F5" s="2"/>
      <c r="G5" s="2"/>
      <c r="H5" s="6"/>
      <c r="I5" s="46"/>
      <c r="J5" s="46"/>
      <c r="K5" s="46"/>
      <c r="L5" s="46"/>
      <c r="M5" s="46"/>
      <c r="N5" s="46"/>
      <c r="O5" s="2"/>
      <c r="P5" s="2"/>
      <c r="Q5" s="2"/>
      <c r="R5" s="2"/>
      <c r="S5" s="2"/>
      <c r="T5" s="46"/>
      <c r="U5" s="46"/>
      <c r="V5" s="46"/>
      <c r="W5" s="46"/>
      <c r="X5" s="2"/>
      <c r="Y5" s="6"/>
      <c r="Z5" s="6"/>
      <c r="AA5" s="6"/>
      <c r="AB5" s="6"/>
      <c r="AC5" s="7"/>
      <c r="AD5" s="46"/>
      <c r="AE5" s="46"/>
      <c r="AF5" s="46"/>
      <c r="AG5" s="46"/>
      <c r="AH5" s="12"/>
      <c r="AI5" s="11">
        <v>1.0</v>
      </c>
      <c r="AJ5" s="11">
        <v>2.0</v>
      </c>
      <c r="AK5" s="11">
        <v>3.0</v>
      </c>
      <c r="AL5" s="11">
        <v>4.0</v>
      </c>
      <c r="AM5" s="11">
        <v>5.0</v>
      </c>
      <c r="AN5" s="11">
        <v>6.0</v>
      </c>
      <c r="AO5" s="11">
        <v>7.0</v>
      </c>
      <c r="AP5" s="11">
        <v>8.0</v>
      </c>
      <c r="AQ5" s="11">
        <v>9.0</v>
      </c>
      <c r="AR5" s="11">
        <v>10.0</v>
      </c>
      <c r="AS5" s="11">
        <v>11.0</v>
      </c>
      <c r="AT5" s="11">
        <v>12.0</v>
      </c>
      <c r="AU5" s="11"/>
      <c r="AV5" s="11"/>
      <c r="AW5" s="11">
        <v>1.0</v>
      </c>
      <c r="AX5" s="11">
        <v>2.0</v>
      </c>
      <c r="AY5" s="11">
        <v>3.0</v>
      </c>
      <c r="AZ5" s="11">
        <v>4.0</v>
      </c>
      <c r="BA5" s="11">
        <v>5.0</v>
      </c>
      <c r="BB5" s="11">
        <v>6.0</v>
      </c>
      <c r="BC5" s="11">
        <v>7.0</v>
      </c>
      <c r="BD5" s="11">
        <v>8.0</v>
      </c>
      <c r="BE5" s="11">
        <v>9.0</v>
      </c>
      <c r="BF5" s="11">
        <v>10.0</v>
      </c>
      <c r="BG5" s="11">
        <v>11.0</v>
      </c>
      <c r="BH5" s="11">
        <v>12.0</v>
      </c>
      <c r="BI5" s="11"/>
      <c r="BJ5" s="12"/>
      <c r="BK5" s="11">
        <v>1.0</v>
      </c>
      <c r="BL5" s="11">
        <v>2.0</v>
      </c>
      <c r="BM5" s="11">
        <v>3.0</v>
      </c>
      <c r="BN5" s="11">
        <v>4.0</v>
      </c>
      <c r="BO5" s="11">
        <v>5.0</v>
      </c>
      <c r="BP5" s="11">
        <v>6.0</v>
      </c>
      <c r="BQ5" s="11">
        <v>7.0</v>
      </c>
      <c r="BR5" s="11">
        <v>8.0</v>
      </c>
      <c r="BS5" s="11">
        <v>9.0</v>
      </c>
      <c r="BT5" s="11">
        <v>10.0</v>
      </c>
      <c r="BU5" s="11">
        <v>11.0</v>
      </c>
      <c r="BV5" s="11">
        <v>12.0</v>
      </c>
      <c r="BW5" s="11"/>
      <c r="BX5" s="1"/>
      <c r="BY5" s="11">
        <v>1.0</v>
      </c>
      <c r="BZ5" s="11">
        <v>2.0</v>
      </c>
      <c r="CA5" s="11">
        <v>3.0</v>
      </c>
      <c r="CB5" s="11">
        <v>4.0</v>
      </c>
      <c r="CC5" s="11">
        <v>5.0</v>
      </c>
      <c r="CD5" s="11">
        <v>6.0</v>
      </c>
      <c r="CE5" s="11">
        <v>7.0</v>
      </c>
      <c r="CF5" s="11">
        <v>8.0</v>
      </c>
      <c r="CG5" s="11">
        <v>9.0</v>
      </c>
      <c r="CH5" s="11">
        <v>10.0</v>
      </c>
      <c r="CI5" s="11">
        <v>11.0</v>
      </c>
      <c r="CJ5" s="11">
        <v>12.0</v>
      </c>
      <c r="CK5" s="15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>
        <v>1.0</v>
      </c>
      <c r="DB5" s="11">
        <v>2.0</v>
      </c>
      <c r="DC5" s="11">
        <v>3.0</v>
      </c>
      <c r="DD5" s="11">
        <v>4.0</v>
      </c>
      <c r="DE5" s="11">
        <v>5.0</v>
      </c>
      <c r="DF5" s="11">
        <v>6.0</v>
      </c>
      <c r="DG5" s="11">
        <v>7.0</v>
      </c>
      <c r="DH5" s="11">
        <v>8.0</v>
      </c>
      <c r="DI5" s="11">
        <v>9.0</v>
      </c>
      <c r="DJ5" s="11">
        <v>10.0</v>
      </c>
      <c r="DK5" s="11">
        <v>11.0</v>
      </c>
      <c r="DL5" s="11">
        <v>12.0</v>
      </c>
      <c r="DM5" s="17"/>
      <c r="DN5" s="1"/>
      <c r="DO5" s="1"/>
      <c r="DP5" s="1"/>
      <c r="DQ5" s="1"/>
    </row>
    <row r="6">
      <c r="A6" s="15"/>
      <c r="B6" s="1" t="s">
        <v>25</v>
      </c>
      <c r="C6" s="15"/>
      <c r="D6" s="47">
        <f>SUMIFS($CM6:$CX6,$CM$35:$CX$35,$D$2)</f>
        <v>0</v>
      </c>
      <c r="E6" s="47">
        <f>SUMIFS($DA6:$DM6,$DA$35:$DM$35,$D$2)</f>
        <v>30</v>
      </c>
      <c r="F6" s="47">
        <f>SUMIFS($BK6:$BV6,$BK$35:$BV$35,$D$2)</f>
        <v>30</v>
      </c>
      <c r="G6" s="47">
        <f>SUMIFS($BY6:$CJ6,$BY$35:$CJ$35,$D$2)</f>
        <v>0</v>
      </c>
      <c r="H6" s="48"/>
      <c r="I6" s="49" t="s">
        <v>23</v>
      </c>
      <c r="J6" s="49" t="s">
        <v>24</v>
      </c>
      <c r="K6" s="49" t="s">
        <v>23</v>
      </c>
      <c r="L6" s="49" t="s">
        <v>24</v>
      </c>
      <c r="M6" s="49" t="s">
        <v>23</v>
      </c>
      <c r="N6" s="49" t="s">
        <v>24</v>
      </c>
      <c r="O6" s="48"/>
      <c r="P6" s="47">
        <f>SUMIFS($CM6:$CX6,$CM$35:$CX$35,$P$2)</f>
        <v>0</v>
      </c>
      <c r="Q6" s="47">
        <f>SUMIFS($BK6:$BV6,$BK$35:$BV$35,$P$2)</f>
        <v>181</v>
      </c>
      <c r="R6" s="47">
        <f>SUMIFS($BY6:$CJ6,$BY$35:$CJ$35,$P$2)</f>
        <v>0</v>
      </c>
      <c r="S6" s="48"/>
      <c r="T6" s="49" t="s">
        <v>23</v>
      </c>
      <c r="U6" s="49" t="s">
        <v>24</v>
      </c>
      <c r="V6" s="49" t="s">
        <v>23</v>
      </c>
      <c r="W6" s="49" t="s">
        <v>24</v>
      </c>
      <c r="X6" s="48"/>
      <c r="Y6" s="47">
        <f>$AU6</f>
        <v>365</v>
      </c>
      <c r="Z6" s="47">
        <f>$BI6</f>
        <v>365</v>
      </c>
      <c r="AA6" s="47">
        <f>$BW6</f>
        <v>365</v>
      </c>
      <c r="AB6" s="47">
        <f>$CK6</f>
        <v>365</v>
      </c>
      <c r="AC6" s="17"/>
      <c r="AD6" s="49" t="s">
        <v>23</v>
      </c>
      <c r="AE6" s="49" t="s">
        <v>24</v>
      </c>
      <c r="AF6" s="49" t="s">
        <v>23</v>
      </c>
      <c r="AG6" s="49" t="s">
        <v>24</v>
      </c>
      <c r="AH6" s="15"/>
      <c r="AI6" s="11">
        <v>31.0</v>
      </c>
      <c r="AJ6" s="34">
        <v>28.0</v>
      </c>
      <c r="AK6" s="11">
        <v>31.0</v>
      </c>
      <c r="AL6" s="11">
        <v>30.0</v>
      </c>
      <c r="AM6" s="11">
        <v>31.0</v>
      </c>
      <c r="AN6" s="11">
        <v>30.0</v>
      </c>
      <c r="AO6" s="11">
        <v>31.0</v>
      </c>
      <c r="AP6" s="11">
        <v>31.0</v>
      </c>
      <c r="AQ6" s="11">
        <v>30.0</v>
      </c>
      <c r="AR6" s="11">
        <v>31.0</v>
      </c>
      <c r="AS6" s="11">
        <v>30.0</v>
      </c>
      <c r="AT6" s="11">
        <v>31.0</v>
      </c>
      <c r="AU6" s="11">
        <f>SUM(AI6:AT6)</f>
        <v>365</v>
      </c>
      <c r="AV6" s="11"/>
      <c r="AW6" s="11">
        <v>31.0</v>
      </c>
      <c r="AX6" s="34">
        <v>28.0</v>
      </c>
      <c r="AY6" s="11">
        <v>31.0</v>
      </c>
      <c r="AZ6" s="11">
        <v>30.0</v>
      </c>
      <c r="BA6" s="11">
        <v>31.0</v>
      </c>
      <c r="BB6" s="11">
        <v>30.0</v>
      </c>
      <c r="BC6" s="11">
        <v>31.0</v>
      </c>
      <c r="BD6" s="11">
        <v>31.0</v>
      </c>
      <c r="BE6" s="11">
        <v>30.0</v>
      </c>
      <c r="BF6" s="11">
        <v>31.0</v>
      </c>
      <c r="BG6" s="11">
        <v>30.0</v>
      </c>
      <c r="BH6" s="11">
        <v>31.0</v>
      </c>
      <c r="BI6" s="11">
        <f>SUM(AW6:BH6)</f>
        <v>365</v>
      </c>
      <c r="BJ6" s="12"/>
      <c r="BK6" s="11">
        <v>31.0</v>
      </c>
      <c r="BL6" s="34">
        <v>28.0</v>
      </c>
      <c r="BM6" s="11">
        <v>31.0</v>
      </c>
      <c r="BN6" s="11">
        <v>30.0</v>
      </c>
      <c r="BO6" s="11">
        <v>31.0</v>
      </c>
      <c r="BP6" s="11">
        <v>30.0</v>
      </c>
      <c r="BQ6" s="11">
        <v>31.0</v>
      </c>
      <c r="BR6" s="11">
        <v>31.0</v>
      </c>
      <c r="BS6" s="11">
        <v>30.0</v>
      </c>
      <c r="BT6" s="11">
        <v>31.0</v>
      </c>
      <c r="BU6" s="11">
        <v>30.0</v>
      </c>
      <c r="BV6" s="11">
        <v>31.0</v>
      </c>
      <c r="BW6" s="11">
        <f>SUM(BK6:BV6)</f>
        <v>365</v>
      </c>
      <c r="BX6" s="1"/>
      <c r="BY6" s="11">
        <v>31.0</v>
      </c>
      <c r="BZ6" s="25">
        <v>28.0</v>
      </c>
      <c r="CA6" s="11">
        <v>31.0</v>
      </c>
      <c r="CB6" s="11">
        <v>30.0</v>
      </c>
      <c r="CC6" s="11">
        <v>31.0</v>
      </c>
      <c r="CD6" s="11">
        <v>30.0</v>
      </c>
      <c r="CE6" s="11">
        <v>31.0</v>
      </c>
      <c r="CF6" s="11">
        <v>31.0</v>
      </c>
      <c r="CG6" s="11">
        <v>30.0</v>
      </c>
      <c r="CH6" s="11">
        <v>31.0</v>
      </c>
      <c r="CI6" s="11">
        <v>30.0</v>
      </c>
      <c r="CJ6" s="11">
        <v>31.0</v>
      </c>
      <c r="CK6" s="25">
        <v>365.0</v>
      </c>
      <c r="CL6" s="11"/>
      <c r="CM6" s="11"/>
      <c r="CN6" s="25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>
        <v>31.0</v>
      </c>
      <c r="DB6" s="34">
        <v>28.0</v>
      </c>
      <c r="DC6" s="11">
        <v>31.0</v>
      </c>
      <c r="DD6" s="11">
        <v>30.0</v>
      </c>
      <c r="DE6" s="11">
        <v>31.0</v>
      </c>
      <c r="DF6" s="11">
        <v>30.0</v>
      </c>
      <c r="DG6" s="11">
        <v>31.0</v>
      </c>
      <c r="DH6" s="11">
        <v>31.0</v>
      </c>
      <c r="DI6" s="11">
        <v>30.0</v>
      </c>
      <c r="DJ6" s="11">
        <v>31.0</v>
      </c>
      <c r="DK6" s="11">
        <v>30.0</v>
      </c>
      <c r="DL6" s="11">
        <v>31.0</v>
      </c>
      <c r="DM6" s="11">
        <v>365.0</v>
      </c>
      <c r="DN6" s="1"/>
      <c r="DO6" s="1"/>
      <c r="DP6" s="1"/>
      <c r="DQ6" s="1"/>
    </row>
    <row r="7" outlineLevel="1">
      <c r="A7" s="15"/>
      <c r="B7" s="50" t="s">
        <v>26</v>
      </c>
      <c r="C7" s="51"/>
      <c r="D7" s="52">
        <f t="shared" ref="D7:G7" si="3">D54</f>
        <v>0</v>
      </c>
      <c r="E7" s="52">
        <f t="shared" si="3"/>
        <v>0</v>
      </c>
      <c r="F7" s="52">
        <f t="shared" si="3"/>
        <v>0.61875</v>
      </c>
      <c r="G7" s="52">
        <f t="shared" si="3"/>
        <v>0</v>
      </c>
      <c r="H7" s="48"/>
      <c r="I7" s="53">
        <f t="shared" ref="I7:I12" si="12">D7-E7</f>
        <v>0</v>
      </c>
      <c r="J7" s="54">
        <f t="shared" ref="J7:J12" si="13">IFERROR(I7/(E7),0)</f>
        <v>0</v>
      </c>
      <c r="K7" s="53">
        <f t="shared" ref="K7:K12" si="14">D7-F7</f>
        <v>-0.61875</v>
      </c>
      <c r="L7" s="54">
        <f t="shared" ref="L7:L12" si="15">IFERROR(K7/(F7),0)</f>
        <v>-1</v>
      </c>
      <c r="M7" s="53">
        <f t="shared" ref="M7:M12" si="16">D7-G7</f>
        <v>0</v>
      </c>
      <c r="N7" s="54">
        <f t="shared" ref="N7:N12" si="17">IFERROR(M7/G7,0)</f>
        <v>0</v>
      </c>
      <c r="O7" s="48"/>
      <c r="P7" s="52">
        <f t="shared" ref="P7:R7" si="4">P54</f>
        <v>0</v>
      </c>
      <c r="Q7" s="52">
        <f t="shared" si="4"/>
        <v>0.5238259669</v>
      </c>
      <c r="R7" s="52">
        <f t="shared" si="4"/>
        <v>0</v>
      </c>
      <c r="S7" s="48"/>
      <c r="T7" s="53">
        <f t="shared" ref="T7:T12" si="19">P7-Q7</f>
        <v>-0.5238259669</v>
      </c>
      <c r="U7" s="54">
        <f t="shared" ref="U7:U12" si="20">IFERROR(T7/Q7,0)</f>
        <v>-1</v>
      </c>
      <c r="V7" s="53">
        <f t="shared" ref="V7:V12" si="21">P7-R7</f>
        <v>0</v>
      </c>
      <c r="W7" s="54">
        <f t="shared" ref="W7:W12" si="22">IFERROR(V7/R7,0)</f>
        <v>0</v>
      </c>
      <c r="X7" s="48"/>
      <c r="Y7" s="52">
        <f t="shared" ref="Y7:AB7" si="5">Y54</f>
        <v>0.5964673913</v>
      </c>
      <c r="Z7" s="52">
        <f t="shared" si="5"/>
        <v>0.7639266304</v>
      </c>
      <c r="AA7" s="52">
        <f t="shared" si="5"/>
        <v>0.6448630137</v>
      </c>
      <c r="AB7" s="52">
        <f t="shared" si="5"/>
        <v>0</v>
      </c>
      <c r="AC7" s="48"/>
      <c r="AD7" s="53">
        <f t="shared" ref="AD7:AD12" si="24">Y7-AA7</f>
        <v>-0.04839562239</v>
      </c>
      <c r="AE7" s="54">
        <f t="shared" ref="AE7:AE12" si="25">IFERROR(AD7/AA7,0)</f>
        <v>-0.07504791152</v>
      </c>
      <c r="AF7" s="53">
        <f t="shared" ref="AF7:AF12" si="26">Y7-AB7</f>
        <v>0.5964673913</v>
      </c>
      <c r="AG7" s="54">
        <f t="shared" ref="AG7:AG12" si="27">IFERROR(AF7/AB7,0)</f>
        <v>0</v>
      </c>
      <c r="AH7" s="51"/>
      <c r="AI7" s="52">
        <f t="shared" ref="AI7:AU7" si="6">AI54</f>
        <v>0</v>
      </c>
      <c r="AJ7" s="52">
        <f t="shared" si="6"/>
        <v>0</v>
      </c>
      <c r="AK7" s="52">
        <f t="shared" si="6"/>
        <v>0</v>
      </c>
      <c r="AL7" s="52">
        <f t="shared" si="6"/>
        <v>0</v>
      </c>
      <c r="AM7" s="52">
        <f t="shared" si="6"/>
        <v>0</v>
      </c>
      <c r="AN7" s="52">
        <f t="shared" si="6"/>
        <v>0</v>
      </c>
      <c r="AO7" s="52">
        <f t="shared" si="6"/>
        <v>0</v>
      </c>
      <c r="AP7" s="52">
        <f t="shared" si="6"/>
        <v>0</v>
      </c>
      <c r="AQ7" s="52">
        <f t="shared" si="6"/>
        <v>0</v>
      </c>
      <c r="AR7" s="52">
        <f t="shared" si="6"/>
        <v>0.8366935484</v>
      </c>
      <c r="AS7" s="52">
        <f t="shared" si="6"/>
        <v>0.475</v>
      </c>
      <c r="AT7" s="52">
        <f t="shared" si="6"/>
        <v>0.4737903226</v>
      </c>
      <c r="AU7" s="52">
        <f t="shared" si="6"/>
        <v>0.5964673913</v>
      </c>
      <c r="AV7" s="55"/>
      <c r="AW7" s="52">
        <f t="shared" ref="AW7:BI7" si="7">AW54</f>
        <v>0</v>
      </c>
      <c r="AX7" s="52">
        <f t="shared" si="7"/>
        <v>0</v>
      </c>
      <c r="AY7" s="52">
        <f t="shared" si="7"/>
        <v>0</v>
      </c>
      <c r="AZ7" s="52">
        <f t="shared" si="7"/>
        <v>0</v>
      </c>
      <c r="BA7" s="52">
        <f t="shared" si="7"/>
        <v>0</v>
      </c>
      <c r="BB7" s="52">
        <f t="shared" si="7"/>
        <v>0</v>
      </c>
      <c r="BC7" s="52">
        <f t="shared" si="7"/>
        <v>0.9697580645</v>
      </c>
      <c r="BD7" s="52">
        <f t="shared" si="7"/>
        <v>0.9435483871</v>
      </c>
      <c r="BE7" s="52">
        <f t="shared" si="7"/>
        <v>0.8791666667</v>
      </c>
      <c r="BF7" s="52">
        <f t="shared" si="7"/>
        <v>0.8366935484</v>
      </c>
      <c r="BG7" s="52">
        <f t="shared" si="7"/>
        <v>0.475</v>
      </c>
      <c r="BH7" s="52">
        <f t="shared" si="7"/>
        <v>0.4737903226</v>
      </c>
      <c r="BI7" s="52">
        <f t="shared" si="7"/>
        <v>0.7639266304</v>
      </c>
      <c r="BJ7" s="56"/>
      <c r="BK7" s="52">
        <f t="shared" ref="BK7:BW7" si="8">BK54</f>
        <v>0.5504</v>
      </c>
      <c r="BL7" s="52">
        <f t="shared" si="8"/>
        <v>0.6406</v>
      </c>
      <c r="BM7" s="52">
        <f t="shared" si="8"/>
        <v>0.3891</v>
      </c>
      <c r="BN7" s="52">
        <f t="shared" si="8"/>
        <v>0.4271</v>
      </c>
      <c r="BO7" s="52">
        <f t="shared" si="8"/>
        <v>0.5282</v>
      </c>
      <c r="BP7" s="52">
        <f t="shared" si="8"/>
        <v>0.6188</v>
      </c>
      <c r="BQ7" s="52">
        <f t="shared" si="8"/>
        <v>0.9698</v>
      </c>
      <c r="BR7" s="52">
        <f t="shared" si="8"/>
        <v>0.9435</v>
      </c>
      <c r="BS7" s="52">
        <f t="shared" si="8"/>
        <v>0.8792</v>
      </c>
      <c r="BT7" s="52">
        <f t="shared" si="8"/>
        <v>0.8367</v>
      </c>
      <c r="BU7" s="52">
        <f t="shared" si="8"/>
        <v>0.475</v>
      </c>
      <c r="BV7" s="52">
        <f t="shared" si="8"/>
        <v>0.4738</v>
      </c>
      <c r="BW7" s="52">
        <f t="shared" si="8"/>
        <v>0.6449</v>
      </c>
      <c r="BX7" s="1"/>
      <c r="BY7" s="52" t="str">
        <f t="shared" ref="BY7:CK7" si="9">BY54</f>
        <v/>
      </c>
      <c r="BZ7" s="52" t="str">
        <f t="shared" si="9"/>
        <v/>
      </c>
      <c r="CA7" s="52" t="str">
        <f t="shared" si="9"/>
        <v/>
      </c>
      <c r="CB7" s="52" t="str">
        <f t="shared" si="9"/>
        <v/>
      </c>
      <c r="CC7" s="52" t="str">
        <f t="shared" si="9"/>
        <v/>
      </c>
      <c r="CD7" s="52" t="str">
        <f t="shared" si="9"/>
        <v/>
      </c>
      <c r="CE7" s="52" t="str">
        <f t="shared" si="9"/>
        <v/>
      </c>
      <c r="CF7" s="52" t="str">
        <f t="shared" si="9"/>
        <v/>
      </c>
      <c r="CG7" s="52" t="str">
        <f t="shared" si="9"/>
        <v/>
      </c>
      <c r="CH7" s="52" t="str">
        <f t="shared" si="9"/>
        <v/>
      </c>
      <c r="CI7" s="52" t="str">
        <f t="shared" si="9"/>
        <v/>
      </c>
      <c r="CJ7" s="52" t="str">
        <f t="shared" si="9"/>
        <v/>
      </c>
      <c r="CK7" s="52" t="str">
        <f t="shared" si="9"/>
        <v/>
      </c>
      <c r="CL7" s="57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11"/>
      <c r="DA7" s="52">
        <f t="shared" ref="DA7:DM7" si="10">DA54</f>
        <v>0.5504032258</v>
      </c>
      <c r="DB7" s="52" t="str">
        <f t="shared" si="10"/>
        <v/>
      </c>
      <c r="DC7" s="52" t="str">
        <f t="shared" si="10"/>
        <v/>
      </c>
      <c r="DD7" s="52" t="str">
        <f t="shared" si="10"/>
        <v/>
      </c>
      <c r="DE7" s="52" t="str">
        <f t="shared" si="10"/>
        <v/>
      </c>
      <c r="DF7" s="52" t="str">
        <f t="shared" si="10"/>
        <v/>
      </c>
      <c r="DG7" s="52" t="str">
        <f t="shared" si="10"/>
        <v/>
      </c>
      <c r="DH7" s="52" t="str">
        <f t="shared" si="10"/>
        <v/>
      </c>
      <c r="DI7" s="52" t="str">
        <f t="shared" si="10"/>
        <v/>
      </c>
      <c r="DJ7" s="52" t="str">
        <f t="shared" si="10"/>
        <v/>
      </c>
      <c r="DK7" s="52" t="str">
        <f t="shared" si="10"/>
        <v/>
      </c>
      <c r="DL7" s="52" t="str">
        <f t="shared" si="10"/>
        <v/>
      </c>
      <c r="DM7" s="52">
        <f t="shared" si="10"/>
        <v>0</v>
      </c>
      <c r="DN7" s="57"/>
      <c r="DO7" s="1"/>
      <c r="DP7" s="1"/>
      <c r="DQ7" s="58"/>
    </row>
    <row r="8" outlineLevel="1">
      <c r="A8" s="15"/>
      <c r="B8" s="50" t="s">
        <v>27</v>
      </c>
      <c r="C8" s="51"/>
      <c r="D8" s="57">
        <f t="shared" ref="D8:G8" si="11">D62</f>
        <v>0</v>
      </c>
      <c r="E8" s="57">
        <f t="shared" si="11"/>
        <v>0</v>
      </c>
      <c r="F8" s="57">
        <f t="shared" si="11"/>
        <v>1262.378396</v>
      </c>
      <c r="G8" s="57">
        <f t="shared" si="11"/>
        <v>0</v>
      </c>
      <c r="H8" s="48"/>
      <c r="I8" s="59">
        <f t="shared" si="12"/>
        <v>0</v>
      </c>
      <c r="J8" s="60">
        <f t="shared" si="13"/>
        <v>0</v>
      </c>
      <c r="K8" s="59">
        <f t="shared" si="14"/>
        <v>-1262.378396</v>
      </c>
      <c r="L8" s="60">
        <f t="shared" si="15"/>
        <v>-1</v>
      </c>
      <c r="M8" s="59">
        <f t="shared" si="16"/>
        <v>0</v>
      </c>
      <c r="N8" s="60">
        <f t="shared" si="17"/>
        <v>0</v>
      </c>
      <c r="O8" s="48"/>
      <c r="P8" s="57">
        <f t="shared" ref="P8:R8" si="18">P62</f>
        <v>0</v>
      </c>
      <c r="Q8" s="57">
        <f t="shared" si="18"/>
        <v>1136.526366</v>
      </c>
      <c r="R8" s="57">
        <f t="shared" si="18"/>
        <v>0</v>
      </c>
      <c r="S8" s="48"/>
      <c r="T8" s="59">
        <f t="shared" si="19"/>
        <v>-1136.526366</v>
      </c>
      <c r="U8" s="60">
        <f t="shared" si="20"/>
        <v>-1</v>
      </c>
      <c r="V8" s="59">
        <f t="shared" si="21"/>
        <v>0</v>
      </c>
      <c r="W8" s="60">
        <f t="shared" si="22"/>
        <v>0</v>
      </c>
      <c r="X8" s="48"/>
      <c r="Y8" s="57">
        <f t="shared" ref="Y8:AB8" si="23">Y62</f>
        <v>1396.828471</v>
      </c>
      <c r="Z8" s="57">
        <f t="shared" si="23"/>
        <v>1450.666858</v>
      </c>
      <c r="AA8" s="57">
        <f t="shared" si="23"/>
        <v>1324.126463</v>
      </c>
      <c r="AB8" s="57">
        <f t="shared" si="23"/>
        <v>0</v>
      </c>
      <c r="AC8" s="48"/>
      <c r="AD8" s="59">
        <f t="shared" si="24"/>
        <v>72.70200764</v>
      </c>
      <c r="AE8" s="60">
        <f t="shared" si="25"/>
        <v>0.05490563754</v>
      </c>
      <c r="AF8" s="59">
        <f t="shared" si="26"/>
        <v>1396.828471</v>
      </c>
      <c r="AG8" s="60">
        <f t="shared" si="27"/>
        <v>0</v>
      </c>
      <c r="AH8" s="51"/>
      <c r="AI8" s="57">
        <f t="shared" ref="AI8:AU8" si="28">AI62</f>
        <v>0</v>
      </c>
      <c r="AJ8" s="57">
        <f t="shared" si="28"/>
        <v>0</v>
      </c>
      <c r="AK8" s="57">
        <f t="shared" si="28"/>
        <v>0</v>
      </c>
      <c r="AL8" s="57">
        <f t="shared" si="28"/>
        <v>0</v>
      </c>
      <c r="AM8" s="57">
        <f t="shared" si="28"/>
        <v>0</v>
      </c>
      <c r="AN8" s="57">
        <f t="shared" si="28"/>
        <v>0</v>
      </c>
      <c r="AO8" s="57">
        <f t="shared" si="28"/>
        <v>0</v>
      </c>
      <c r="AP8" s="57">
        <f t="shared" si="28"/>
        <v>0</v>
      </c>
      <c r="AQ8" s="57">
        <f t="shared" si="28"/>
        <v>0</v>
      </c>
      <c r="AR8" s="57">
        <f t="shared" si="28"/>
        <v>1512.677865</v>
      </c>
      <c r="AS8" s="57">
        <f t="shared" si="28"/>
        <v>1236.031607</v>
      </c>
      <c r="AT8" s="57">
        <f t="shared" si="28"/>
        <v>1348.250541</v>
      </c>
      <c r="AU8" s="57">
        <f t="shared" si="28"/>
        <v>1396.828471</v>
      </c>
      <c r="AV8" s="55"/>
      <c r="AW8" s="57">
        <f t="shared" ref="AW8:BI8" si="29">AW62</f>
        <v>0</v>
      </c>
      <c r="AX8" s="57">
        <f t="shared" si="29"/>
        <v>0</v>
      </c>
      <c r="AY8" s="57">
        <f t="shared" si="29"/>
        <v>0</v>
      </c>
      <c r="AZ8" s="57">
        <f t="shared" si="29"/>
        <v>0</v>
      </c>
      <c r="BA8" s="57">
        <f t="shared" si="29"/>
        <v>0</v>
      </c>
      <c r="BB8" s="57">
        <f t="shared" si="29"/>
        <v>0</v>
      </c>
      <c r="BC8" s="57">
        <f t="shared" si="29"/>
        <v>1485.302268</v>
      </c>
      <c r="BD8" s="57">
        <f t="shared" si="29"/>
        <v>1501.70891</v>
      </c>
      <c r="BE8" s="57">
        <f t="shared" si="29"/>
        <v>1466.597642</v>
      </c>
      <c r="BF8" s="57">
        <f t="shared" si="29"/>
        <v>1512.677865</v>
      </c>
      <c r="BG8" s="57">
        <f t="shared" si="29"/>
        <v>1236.031607</v>
      </c>
      <c r="BH8" s="57">
        <f t="shared" si="29"/>
        <v>1348.250541</v>
      </c>
      <c r="BI8" s="57">
        <f t="shared" si="29"/>
        <v>1450.666858</v>
      </c>
      <c r="BJ8" s="61"/>
      <c r="BK8" s="57">
        <f t="shared" ref="BK8:BW8" si="30">BK62</f>
        <v>1348.3397</v>
      </c>
      <c r="BL8" s="57">
        <f t="shared" si="30"/>
        <v>1251.3501</v>
      </c>
      <c r="BM8" s="57">
        <f t="shared" si="30"/>
        <v>1160.86</v>
      </c>
      <c r="BN8" s="57">
        <f t="shared" si="30"/>
        <v>872.8293</v>
      </c>
      <c r="BO8" s="57">
        <f t="shared" si="30"/>
        <v>835.7783</v>
      </c>
      <c r="BP8" s="57">
        <f t="shared" si="30"/>
        <v>1262.3784</v>
      </c>
      <c r="BQ8" s="57">
        <f t="shared" si="30"/>
        <v>1485.3023</v>
      </c>
      <c r="BR8" s="57">
        <f t="shared" si="30"/>
        <v>1501.7089</v>
      </c>
      <c r="BS8" s="57">
        <f t="shared" si="30"/>
        <v>1466.5976</v>
      </c>
      <c r="BT8" s="57">
        <f t="shared" si="30"/>
        <v>1512.6779</v>
      </c>
      <c r="BU8" s="57">
        <f t="shared" si="30"/>
        <v>1236.0316</v>
      </c>
      <c r="BV8" s="57">
        <f t="shared" si="30"/>
        <v>1348.2505</v>
      </c>
      <c r="BW8" s="57">
        <f t="shared" si="30"/>
        <v>1324.1265</v>
      </c>
      <c r="BX8" s="62"/>
      <c r="BY8" s="57" t="str">
        <f t="shared" ref="BY8:CK8" si="31">BY62</f>
        <v/>
      </c>
      <c r="BZ8" s="57" t="str">
        <f t="shared" si="31"/>
        <v/>
      </c>
      <c r="CA8" s="57" t="str">
        <f t="shared" si="31"/>
        <v/>
      </c>
      <c r="CB8" s="57" t="str">
        <f t="shared" si="31"/>
        <v/>
      </c>
      <c r="CC8" s="57" t="str">
        <f t="shared" si="31"/>
        <v/>
      </c>
      <c r="CD8" s="57" t="str">
        <f t="shared" si="31"/>
        <v/>
      </c>
      <c r="CE8" s="57" t="str">
        <f t="shared" si="31"/>
        <v/>
      </c>
      <c r="CF8" s="57" t="str">
        <f t="shared" si="31"/>
        <v/>
      </c>
      <c r="CG8" s="57" t="str">
        <f t="shared" si="31"/>
        <v/>
      </c>
      <c r="CH8" s="57" t="str">
        <f t="shared" si="31"/>
        <v/>
      </c>
      <c r="CI8" s="57" t="str">
        <f t="shared" si="31"/>
        <v/>
      </c>
      <c r="CJ8" s="57" t="str">
        <f t="shared" si="31"/>
        <v/>
      </c>
      <c r="CK8" s="57" t="str">
        <f t="shared" si="31"/>
        <v/>
      </c>
      <c r="CL8" s="57"/>
      <c r="CM8" s="57"/>
      <c r="CN8" s="57"/>
      <c r="CO8" s="57"/>
      <c r="CP8" s="57"/>
      <c r="CQ8" s="57"/>
      <c r="CR8" s="57"/>
      <c r="CS8" s="57"/>
      <c r="CT8" s="57"/>
      <c r="CU8" s="57"/>
      <c r="CV8" s="57"/>
      <c r="CW8" s="57"/>
      <c r="CX8" s="57"/>
      <c r="CY8" s="57"/>
      <c r="CZ8" s="63"/>
      <c r="DA8" s="57">
        <f t="shared" ref="DA8:DM8" si="32">DA62</f>
        <v>1348.339676</v>
      </c>
      <c r="DB8" s="57" t="str">
        <f t="shared" si="32"/>
        <v/>
      </c>
      <c r="DC8" s="57" t="str">
        <f t="shared" si="32"/>
        <v/>
      </c>
      <c r="DD8" s="57" t="str">
        <f t="shared" si="32"/>
        <v/>
      </c>
      <c r="DE8" s="57" t="str">
        <f t="shared" si="32"/>
        <v/>
      </c>
      <c r="DF8" s="57" t="str">
        <f t="shared" si="32"/>
        <v/>
      </c>
      <c r="DG8" s="57" t="str">
        <f t="shared" si="32"/>
        <v/>
      </c>
      <c r="DH8" s="57" t="str">
        <f t="shared" si="32"/>
        <v/>
      </c>
      <c r="DI8" s="57" t="str">
        <f t="shared" si="32"/>
        <v/>
      </c>
      <c r="DJ8" s="57" t="str">
        <f t="shared" si="32"/>
        <v/>
      </c>
      <c r="DK8" s="57" t="str">
        <f t="shared" si="32"/>
        <v/>
      </c>
      <c r="DL8" s="57" t="str">
        <f t="shared" si="32"/>
        <v/>
      </c>
      <c r="DM8" s="57">
        <f t="shared" si="32"/>
        <v>1348.339676</v>
      </c>
      <c r="DN8" s="57"/>
      <c r="DO8" s="1"/>
      <c r="DP8" s="1"/>
      <c r="DQ8" s="58"/>
    </row>
    <row r="9" outlineLevel="1">
      <c r="A9" s="15"/>
      <c r="B9" s="64" t="s">
        <v>28</v>
      </c>
      <c r="C9" s="51"/>
      <c r="D9" s="65">
        <f t="shared" ref="D9:G9" si="33">D63</f>
        <v>0</v>
      </c>
      <c r="E9" s="65">
        <f t="shared" si="33"/>
        <v>0</v>
      </c>
      <c r="F9" s="65">
        <f t="shared" si="33"/>
        <v>781.0966327</v>
      </c>
      <c r="G9" s="65">
        <f t="shared" si="33"/>
        <v>0</v>
      </c>
      <c r="H9" s="48"/>
      <c r="I9" s="66">
        <f t="shared" si="12"/>
        <v>0</v>
      </c>
      <c r="J9" s="67">
        <f t="shared" si="13"/>
        <v>0</v>
      </c>
      <c r="K9" s="66">
        <f t="shared" si="14"/>
        <v>-781.0966327</v>
      </c>
      <c r="L9" s="67">
        <f t="shared" si="15"/>
        <v>-1</v>
      </c>
      <c r="M9" s="66">
        <f t="shared" si="16"/>
        <v>0</v>
      </c>
      <c r="N9" s="67">
        <f t="shared" si="17"/>
        <v>0</v>
      </c>
      <c r="O9" s="48"/>
      <c r="P9" s="65">
        <f t="shared" ref="P9:R9" si="34">P63</f>
        <v>0</v>
      </c>
      <c r="Q9" s="65">
        <f t="shared" si="34"/>
        <v>595.3420225</v>
      </c>
      <c r="R9" s="65">
        <f t="shared" si="34"/>
        <v>0</v>
      </c>
      <c r="S9" s="48"/>
      <c r="T9" s="66">
        <f t="shared" si="19"/>
        <v>-595.3420225</v>
      </c>
      <c r="U9" s="67">
        <f t="shared" si="20"/>
        <v>-1</v>
      </c>
      <c r="V9" s="66">
        <f t="shared" si="21"/>
        <v>0</v>
      </c>
      <c r="W9" s="67">
        <f t="shared" si="22"/>
        <v>0</v>
      </c>
      <c r="X9" s="48"/>
      <c r="Y9" s="65">
        <f t="shared" ref="Y9:AB9" si="35">Y63</f>
        <v>833.162634</v>
      </c>
      <c r="Z9" s="65">
        <f t="shared" si="35"/>
        <v>1108.203044</v>
      </c>
      <c r="AA9" s="65">
        <f t="shared" si="35"/>
        <v>853.8801815</v>
      </c>
      <c r="AB9" s="65">
        <f t="shared" si="35"/>
        <v>0</v>
      </c>
      <c r="AC9" s="48"/>
      <c r="AD9" s="66">
        <f t="shared" si="24"/>
        <v>-20.71754747</v>
      </c>
      <c r="AE9" s="67">
        <f t="shared" si="25"/>
        <v>-0.02426282741</v>
      </c>
      <c r="AF9" s="66">
        <f t="shared" si="26"/>
        <v>833.162634</v>
      </c>
      <c r="AG9" s="67">
        <f t="shared" si="27"/>
        <v>0</v>
      </c>
      <c r="AH9" s="51"/>
      <c r="AI9" s="65">
        <f t="shared" ref="AI9:AU9" si="36">AI63</f>
        <v>0</v>
      </c>
      <c r="AJ9" s="65">
        <f t="shared" si="36"/>
        <v>0</v>
      </c>
      <c r="AK9" s="65">
        <f t="shared" si="36"/>
        <v>0</v>
      </c>
      <c r="AL9" s="65">
        <f t="shared" si="36"/>
        <v>0</v>
      </c>
      <c r="AM9" s="65">
        <f t="shared" si="36"/>
        <v>0</v>
      </c>
      <c r="AN9" s="65">
        <f t="shared" si="36"/>
        <v>0</v>
      </c>
      <c r="AO9" s="65">
        <f t="shared" si="36"/>
        <v>0</v>
      </c>
      <c r="AP9" s="65">
        <f t="shared" si="36"/>
        <v>0</v>
      </c>
      <c r="AQ9" s="65">
        <f t="shared" si="36"/>
        <v>0</v>
      </c>
      <c r="AR9" s="65">
        <f t="shared" si="36"/>
        <v>1265.64781</v>
      </c>
      <c r="AS9" s="65">
        <f t="shared" si="36"/>
        <v>587.1150133</v>
      </c>
      <c r="AT9" s="65">
        <f t="shared" si="36"/>
        <v>638.7880587</v>
      </c>
      <c r="AU9" s="65">
        <f t="shared" si="36"/>
        <v>833.162634</v>
      </c>
      <c r="AV9" s="55"/>
      <c r="AW9" s="65">
        <f t="shared" ref="AW9:BI9" si="37">AW63</f>
        <v>0</v>
      </c>
      <c r="AX9" s="65">
        <f t="shared" si="37"/>
        <v>0</v>
      </c>
      <c r="AY9" s="65">
        <f t="shared" si="37"/>
        <v>0</v>
      </c>
      <c r="AZ9" s="65">
        <f t="shared" si="37"/>
        <v>0</v>
      </c>
      <c r="BA9" s="65">
        <f t="shared" si="37"/>
        <v>0</v>
      </c>
      <c r="BB9" s="65">
        <f t="shared" si="37"/>
        <v>0</v>
      </c>
      <c r="BC9" s="65">
        <f t="shared" si="37"/>
        <v>1440.383853</v>
      </c>
      <c r="BD9" s="65">
        <f t="shared" si="37"/>
        <v>1416.93502</v>
      </c>
      <c r="BE9" s="65">
        <f t="shared" si="37"/>
        <v>1289.38376</v>
      </c>
      <c r="BF9" s="65">
        <f t="shared" si="37"/>
        <v>1265.64781</v>
      </c>
      <c r="BG9" s="65">
        <f t="shared" si="37"/>
        <v>587.1150133</v>
      </c>
      <c r="BH9" s="65">
        <f t="shared" si="37"/>
        <v>638.7880587</v>
      </c>
      <c r="BI9" s="65">
        <f t="shared" si="37"/>
        <v>1108.203044</v>
      </c>
      <c r="BJ9" s="56"/>
      <c r="BK9" s="65">
        <f t="shared" ref="BK9:BW9" si="38">BK63</f>
        <v>742.1305</v>
      </c>
      <c r="BL9" s="65">
        <f t="shared" si="38"/>
        <v>801.6462</v>
      </c>
      <c r="BM9" s="65">
        <f t="shared" si="38"/>
        <v>451.7056</v>
      </c>
      <c r="BN9" s="65">
        <f t="shared" si="38"/>
        <v>372.7709</v>
      </c>
      <c r="BO9" s="65">
        <f t="shared" si="38"/>
        <v>441.4796</v>
      </c>
      <c r="BP9" s="65">
        <f t="shared" si="38"/>
        <v>781.0966</v>
      </c>
      <c r="BQ9" s="65">
        <f t="shared" si="38"/>
        <v>1440.3839</v>
      </c>
      <c r="BR9" s="65">
        <f t="shared" si="38"/>
        <v>1416.935</v>
      </c>
      <c r="BS9" s="65">
        <f t="shared" si="38"/>
        <v>1289.3838</v>
      </c>
      <c r="BT9" s="65">
        <f t="shared" si="38"/>
        <v>1265.6478</v>
      </c>
      <c r="BU9" s="65">
        <f t="shared" si="38"/>
        <v>587.115</v>
      </c>
      <c r="BV9" s="65">
        <f t="shared" si="38"/>
        <v>638.7881</v>
      </c>
      <c r="BW9" s="65">
        <f t="shared" si="38"/>
        <v>853.8802</v>
      </c>
      <c r="BX9" s="1"/>
      <c r="BY9" s="65" t="str">
        <f t="shared" ref="BY9:CK9" si="39">BY63</f>
        <v/>
      </c>
      <c r="BZ9" s="65" t="str">
        <f t="shared" si="39"/>
        <v/>
      </c>
      <c r="CA9" s="65" t="str">
        <f t="shared" si="39"/>
        <v/>
      </c>
      <c r="CB9" s="65" t="str">
        <f t="shared" si="39"/>
        <v/>
      </c>
      <c r="CC9" s="65" t="str">
        <f t="shared" si="39"/>
        <v/>
      </c>
      <c r="CD9" s="65" t="str">
        <f t="shared" si="39"/>
        <v/>
      </c>
      <c r="CE9" s="65" t="str">
        <f t="shared" si="39"/>
        <v/>
      </c>
      <c r="CF9" s="65" t="str">
        <f t="shared" si="39"/>
        <v/>
      </c>
      <c r="CG9" s="65" t="str">
        <f t="shared" si="39"/>
        <v/>
      </c>
      <c r="CH9" s="65" t="str">
        <f t="shared" si="39"/>
        <v/>
      </c>
      <c r="CI9" s="65" t="str">
        <f t="shared" si="39"/>
        <v/>
      </c>
      <c r="CJ9" s="65" t="str">
        <f t="shared" si="39"/>
        <v/>
      </c>
      <c r="CK9" s="65" t="str">
        <f t="shared" si="39"/>
        <v/>
      </c>
      <c r="CL9" s="57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11"/>
      <c r="DA9" s="65">
        <f t="shared" ref="DA9:DM9" si="40">DA63</f>
        <v>742.1305071</v>
      </c>
      <c r="DB9" s="65" t="str">
        <f t="shared" si="40"/>
        <v/>
      </c>
      <c r="DC9" s="65" t="str">
        <f t="shared" si="40"/>
        <v/>
      </c>
      <c r="DD9" s="65" t="str">
        <f t="shared" si="40"/>
        <v/>
      </c>
      <c r="DE9" s="65" t="str">
        <f t="shared" si="40"/>
        <v/>
      </c>
      <c r="DF9" s="65" t="str">
        <f t="shared" si="40"/>
        <v/>
      </c>
      <c r="DG9" s="65" t="str">
        <f t="shared" si="40"/>
        <v/>
      </c>
      <c r="DH9" s="65" t="str">
        <f t="shared" si="40"/>
        <v/>
      </c>
      <c r="DI9" s="65" t="str">
        <f t="shared" si="40"/>
        <v/>
      </c>
      <c r="DJ9" s="65" t="str">
        <f t="shared" si="40"/>
        <v/>
      </c>
      <c r="DK9" s="65" t="str">
        <f t="shared" si="40"/>
        <v/>
      </c>
      <c r="DL9" s="65" t="str">
        <f t="shared" si="40"/>
        <v/>
      </c>
      <c r="DM9" s="65">
        <f t="shared" si="40"/>
        <v>0</v>
      </c>
      <c r="DN9" s="57"/>
      <c r="DO9" s="1"/>
      <c r="DP9" s="1"/>
      <c r="DQ9" s="58"/>
    </row>
    <row r="10" outlineLevel="1">
      <c r="A10" s="15"/>
      <c r="B10" s="50" t="s">
        <v>29</v>
      </c>
      <c r="C10" s="51"/>
      <c r="D10" s="57">
        <f t="shared" ref="D10:G10" si="41">D72</f>
        <v>0</v>
      </c>
      <c r="E10" s="57">
        <f t="shared" si="41"/>
        <v>0</v>
      </c>
      <c r="F10" s="57">
        <f t="shared" si="41"/>
        <v>1014.952862</v>
      </c>
      <c r="G10" s="57">
        <f t="shared" si="41"/>
        <v>0</v>
      </c>
      <c r="H10" s="48"/>
      <c r="I10" s="66">
        <f t="shared" si="12"/>
        <v>0</v>
      </c>
      <c r="J10" s="67">
        <f t="shared" si="13"/>
        <v>0</v>
      </c>
      <c r="K10" s="66">
        <f t="shared" si="14"/>
        <v>-1014.952862</v>
      </c>
      <c r="L10" s="67">
        <f t="shared" si="15"/>
        <v>-1</v>
      </c>
      <c r="M10" s="66">
        <f t="shared" si="16"/>
        <v>0</v>
      </c>
      <c r="N10" s="67">
        <f t="shared" si="17"/>
        <v>0</v>
      </c>
      <c r="O10" s="48"/>
      <c r="P10" s="57">
        <f t="shared" ref="P10:R10" si="42">P72</f>
        <v>0</v>
      </c>
      <c r="Q10" s="57">
        <f t="shared" si="42"/>
        <v>913.7679631</v>
      </c>
      <c r="R10" s="57">
        <f t="shared" si="42"/>
        <v>0</v>
      </c>
      <c r="S10" s="48"/>
      <c r="T10" s="66">
        <f t="shared" si="19"/>
        <v>-913.7679631</v>
      </c>
      <c r="U10" s="67">
        <f t="shared" si="20"/>
        <v>-1</v>
      </c>
      <c r="V10" s="66">
        <f t="shared" si="21"/>
        <v>0</v>
      </c>
      <c r="W10" s="67">
        <f t="shared" si="22"/>
        <v>0</v>
      </c>
      <c r="X10" s="48"/>
      <c r="Y10" s="57">
        <f t="shared" ref="Y10:AB10" si="43">Y72</f>
        <v>1123.048975</v>
      </c>
      <c r="Z10" s="57">
        <f t="shared" si="43"/>
        <v>1166.335705</v>
      </c>
      <c r="AA10" s="57">
        <f t="shared" si="43"/>
        <v>1064.597716</v>
      </c>
      <c r="AB10" s="57">
        <f t="shared" si="43"/>
        <v>0</v>
      </c>
      <c r="AC10" s="48"/>
      <c r="AD10" s="66">
        <f t="shared" si="24"/>
        <v>58.45125853</v>
      </c>
      <c r="AE10" s="67">
        <f t="shared" si="25"/>
        <v>0.05490454998</v>
      </c>
      <c r="AF10" s="66">
        <f t="shared" si="26"/>
        <v>1123.048975</v>
      </c>
      <c r="AG10" s="67">
        <f t="shared" si="27"/>
        <v>0</v>
      </c>
      <c r="AH10" s="51"/>
      <c r="AI10" s="57">
        <f t="shared" ref="AI10:AU10" si="44">AI72</f>
        <v>0</v>
      </c>
      <c r="AJ10" s="57">
        <f t="shared" si="44"/>
        <v>0</v>
      </c>
      <c r="AK10" s="57">
        <f t="shared" si="44"/>
        <v>0</v>
      </c>
      <c r="AL10" s="57">
        <f t="shared" si="44"/>
        <v>0</v>
      </c>
      <c r="AM10" s="57">
        <f t="shared" si="44"/>
        <v>0</v>
      </c>
      <c r="AN10" s="57">
        <f t="shared" si="44"/>
        <v>0</v>
      </c>
      <c r="AO10" s="57">
        <f t="shared" si="44"/>
        <v>0</v>
      </c>
      <c r="AP10" s="57">
        <f t="shared" si="44"/>
        <v>0</v>
      </c>
      <c r="AQ10" s="57">
        <f t="shared" si="44"/>
        <v>0</v>
      </c>
      <c r="AR10" s="57">
        <f t="shared" si="44"/>
        <v>1216.192771</v>
      </c>
      <c r="AS10" s="57">
        <f t="shared" si="44"/>
        <v>993.7675439</v>
      </c>
      <c r="AT10" s="57">
        <f t="shared" si="44"/>
        <v>1083.991489</v>
      </c>
      <c r="AU10" s="57">
        <f t="shared" si="44"/>
        <v>1123.048975</v>
      </c>
      <c r="AV10" s="55"/>
      <c r="AW10" s="57">
        <f t="shared" ref="AW10:BI10" si="45">AW72</f>
        <v>0</v>
      </c>
      <c r="AX10" s="57">
        <f t="shared" si="45"/>
        <v>0</v>
      </c>
      <c r="AY10" s="57">
        <f t="shared" si="45"/>
        <v>0</v>
      </c>
      <c r="AZ10" s="57">
        <f t="shared" si="45"/>
        <v>0</v>
      </c>
      <c r="BA10" s="57">
        <f t="shared" si="45"/>
        <v>0</v>
      </c>
      <c r="BB10" s="57">
        <f t="shared" si="45"/>
        <v>0</v>
      </c>
      <c r="BC10" s="57">
        <f t="shared" si="45"/>
        <v>1194.182952</v>
      </c>
      <c r="BD10" s="57">
        <f t="shared" si="45"/>
        <v>1207.373932</v>
      </c>
      <c r="BE10" s="57">
        <f t="shared" si="45"/>
        <v>1179.14455</v>
      </c>
      <c r="BF10" s="57">
        <f t="shared" si="45"/>
        <v>1216.192771</v>
      </c>
      <c r="BG10" s="57">
        <f t="shared" si="45"/>
        <v>993.7675439</v>
      </c>
      <c r="BH10" s="57">
        <f t="shared" si="45"/>
        <v>1083.991489</v>
      </c>
      <c r="BI10" s="57">
        <f t="shared" si="45"/>
        <v>1166.335705</v>
      </c>
      <c r="BJ10" s="56"/>
      <c r="BK10" s="57">
        <f t="shared" ref="BK10:BW10" si="46">BK72</f>
        <v>1084.0659</v>
      </c>
      <c r="BL10" s="57">
        <f t="shared" si="46"/>
        <v>1006.0871</v>
      </c>
      <c r="BM10" s="57">
        <f t="shared" si="46"/>
        <v>933.3316</v>
      </c>
      <c r="BN10" s="57">
        <f t="shared" si="46"/>
        <v>701.7561</v>
      </c>
      <c r="BO10" s="57">
        <f t="shared" si="46"/>
        <v>671.9656</v>
      </c>
      <c r="BP10" s="57">
        <f t="shared" si="46"/>
        <v>1014.9529</v>
      </c>
      <c r="BQ10" s="57">
        <f t="shared" si="46"/>
        <v>1194.183</v>
      </c>
      <c r="BR10" s="57">
        <f t="shared" si="46"/>
        <v>1207.3739</v>
      </c>
      <c r="BS10" s="57">
        <f t="shared" si="46"/>
        <v>1179.1445</v>
      </c>
      <c r="BT10" s="57">
        <f t="shared" si="46"/>
        <v>1216.1928</v>
      </c>
      <c r="BU10" s="57">
        <f t="shared" si="46"/>
        <v>993.7675</v>
      </c>
      <c r="BV10" s="57">
        <f t="shared" si="46"/>
        <v>1083.9915</v>
      </c>
      <c r="BW10" s="57">
        <f t="shared" si="46"/>
        <v>1064.5977</v>
      </c>
      <c r="BX10" s="1"/>
      <c r="BY10" s="57" t="str">
        <f t="shared" ref="BY10:CK10" si="47">BY72</f>
        <v/>
      </c>
      <c r="BZ10" s="57" t="str">
        <f t="shared" si="47"/>
        <v/>
      </c>
      <c r="CA10" s="57" t="str">
        <f t="shared" si="47"/>
        <v/>
      </c>
      <c r="CB10" s="57" t="str">
        <f t="shared" si="47"/>
        <v/>
      </c>
      <c r="CC10" s="57" t="str">
        <f t="shared" si="47"/>
        <v/>
      </c>
      <c r="CD10" s="57" t="str">
        <f t="shared" si="47"/>
        <v/>
      </c>
      <c r="CE10" s="57" t="str">
        <f t="shared" si="47"/>
        <v/>
      </c>
      <c r="CF10" s="57" t="str">
        <f t="shared" si="47"/>
        <v/>
      </c>
      <c r="CG10" s="57" t="str">
        <f t="shared" si="47"/>
        <v/>
      </c>
      <c r="CH10" s="57" t="str">
        <f t="shared" si="47"/>
        <v/>
      </c>
      <c r="CI10" s="57" t="str">
        <f t="shared" si="47"/>
        <v/>
      </c>
      <c r="CJ10" s="57" t="str">
        <f t="shared" si="47"/>
        <v/>
      </c>
      <c r="CK10" s="57" t="str">
        <f t="shared" si="47"/>
        <v/>
      </c>
      <c r="CL10" s="57"/>
      <c r="CM10" s="57"/>
      <c r="CN10" s="57"/>
      <c r="CO10" s="57"/>
      <c r="CP10" s="57"/>
      <c r="CQ10" s="57"/>
      <c r="CR10" s="57"/>
      <c r="CS10" s="57"/>
      <c r="CT10" s="57"/>
      <c r="CU10" s="57"/>
      <c r="CV10" s="57"/>
      <c r="CW10" s="57"/>
      <c r="CX10" s="57"/>
      <c r="CY10" s="57"/>
      <c r="CZ10" s="11"/>
      <c r="DA10" s="57">
        <f t="shared" ref="DA10:DM10" si="48">DA72</f>
        <v>1084.065934</v>
      </c>
      <c r="DB10" s="57" t="str">
        <f t="shared" si="48"/>
        <v/>
      </c>
      <c r="DC10" s="57" t="str">
        <f t="shared" si="48"/>
        <v/>
      </c>
      <c r="DD10" s="57" t="str">
        <f t="shared" si="48"/>
        <v/>
      </c>
      <c r="DE10" s="57" t="str">
        <f t="shared" si="48"/>
        <v/>
      </c>
      <c r="DF10" s="57" t="str">
        <f t="shared" si="48"/>
        <v/>
      </c>
      <c r="DG10" s="57" t="str">
        <f t="shared" si="48"/>
        <v/>
      </c>
      <c r="DH10" s="57" t="str">
        <f t="shared" si="48"/>
        <v/>
      </c>
      <c r="DI10" s="57" t="str">
        <f t="shared" si="48"/>
        <v/>
      </c>
      <c r="DJ10" s="57" t="str">
        <f t="shared" si="48"/>
        <v/>
      </c>
      <c r="DK10" s="57" t="str">
        <f t="shared" si="48"/>
        <v/>
      </c>
      <c r="DL10" s="57" t="str">
        <f t="shared" si="48"/>
        <v/>
      </c>
      <c r="DM10" s="57">
        <f t="shared" si="48"/>
        <v>1084.065934</v>
      </c>
      <c r="DN10" s="57"/>
      <c r="DO10" s="1"/>
      <c r="DP10" s="1"/>
      <c r="DQ10" s="58"/>
    </row>
    <row r="11" outlineLevel="1">
      <c r="A11" s="15"/>
      <c r="B11" s="69" t="s">
        <v>30</v>
      </c>
      <c r="C11" s="51"/>
      <c r="D11" s="70">
        <f t="shared" ref="D11:G11" si="49">D87</f>
        <v>0</v>
      </c>
      <c r="E11" s="70">
        <f t="shared" si="49"/>
        <v>0</v>
      </c>
      <c r="F11" s="70">
        <f t="shared" si="49"/>
        <v>451357.1857</v>
      </c>
      <c r="G11" s="70">
        <f t="shared" si="49"/>
        <v>0</v>
      </c>
      <c r="H11" s="48"/>
      <c r="I11" s="66">
        <f t="shared" si="12"/>
        <v>0</v>
      </c>
      <c r="J11" s="67">
        <f t="shared" si="13"/>
        <v>0</v>
      </c>
      <c r="K11" s="66">
        <f t="shared" si="14"/>
        <v>-451357.1857</v>
      </c>
      <c r="L11" s="67">
        <f t="shared" si="15"/>
        <v>-1</v>
      </c>
      <c r="M11" s="66">
        <f t="shared" si="16"/>
        <v>0</v>
      </c>
      <c r="N11" s="67">
        <f t="shared" si="17"/>
        <v>0</v>
      </c>
      <c r="O11" s="48"/>
      <c r="P11" s="70">
        <f t="shared" ref="P11:R11" si="50">P87</f>
        <v>0</v>
      </c>
      <c r="Q11" s="70">
        <f t="shared" si="50"/>
        <v>2104787.402</v>
      </c>
      <c r="R11" s="70">
        <f t="shared" si="50"/>
        <v>0</v>
      </c>
      <c r="S11" s="48"/>
      <c r="T11" s="66">
        <f t="shared" si="19"/>
        <v>-2104787.402</v>
      </c>
      <c r="U11" s="67">
        <f t="shared" si="20"/>
        <v>-1</v>
      </c>
      <c r="V11" s="66">
        <f t="shared" si="21"/>
        <v>0</v>
      </c>
      <c r="W11" s="67">
        <f t="shared" si="22"/>
        <v>0</v>
      </c>
      <c r="X11" s="48"/>
      <c r="Y11" s="70">
        <f t="shared" ref="Y11:AB11" si="51">Y87</f>
        <v>1621303.538</v>
      </c>
      <c r="Z11" s="70">
        <f t="shared" si="51"/>
        <v>4265107.451</v>
      </c>
      <c r="AA11" s="70">
        <f t="shared" si="51"/>
        <v>6369894.853</v>
      </c>
      <c r="AB11" s="70">
        <f t="shared" si="51"/>
        <v>0</v>
      </c>
      <c r="AC11" s="48"/>
      <c r="AD11" s="66">
        <f t="shared" si="24"/>
        <v>-4748591.315</v>
      </c>
      <c r="AE11" s="67">
        <f t="shared" si="25"/>
        <v>-0.7454740501</v>
      </c>
      <c r="AF11" s="66">
        <f t="shared" si="26"/>
        <v>1621303.538</v>
      </c>
      <c r="AG11" s="67">
        <f t="shared" si="27"/>
        <v>0</v>
      </c>
      <c r="AH11" s="51"/>
      <c r="AI11" s="47">
        <f t="shared" ref="AI11:AU11" si="52">AI87</f>
        <v>0</v>
      </c>
      <c r="AJ11" s="47">
        <f t="shared" si="52"/>
        <v>0</v>
      </c>
      <c r="AK11" s="47">
        <f t="shared" si="52"/>
        <v>0</v>
      </c>
      <c r="AL11" s="47">
        <f t="shared" si="52"/>
        <v>0</v>
      </c>
      <c r="AM11" s="47">
        <f t="shared" si="52"/>
        <v>0</v>
      </c>
      <c r="AN11" s="47">
        <f t="shared" si="52"/>
        <v>0</v>
      </c>
      <c r="AO11" s="47">
        <f t="shared" si="52"/>
        <v>0</v>
      </c>
      <c r="AP11" s="47">
        <f t="shared" si="52"/>
        <v>0</v>
      </c>
      <c r="AQ11" s="47">
        <f t="shared" si="52"/>
        <v>0</v>
      </c>
      <c r="AR11" s="47">
        <f t="shared" si="52"/>
        <v>816034.6958</v>
      </c>
      <c r="AS11" s="47">
        <f t="shared" si="52"/>
        <v>380569.5954</v>
      </c>
      <c r="AT11" s="47">
        <f t="shared" si="52"/>
        <v>424699.2471</v>
      </c>
      <c r="AU11" s="47">
        <f t="shared" si="52"/>
        <v>1621303.538</v>
      </c>
      <c r="AV11" s="55"/>
      <c r="AW11" s="47">
        <f t="shared" ref="AW11:BI11" si="53">AW87</f>
        <v>0</v>
      </c>
      <c r="AX11" s="47">
        <f t="shared" si="53"/>
        <v>0</v>
      </c>
      <c r="AY11" s="47">
        <f t="shared" si="53"/>
        <v>0</v>
      </c>
      <c r="AZ11" s="47">
        <f t="shared" si="53"/>
        <v>0</v>
      </c>
      <c r="BA11" s="47">
        <f t="shared" si="53"/>
        <v>0</v>
      </c>
      <c r="BB11" s="47">
        <f t="shared" si="53"/>
        <v>0</v>
      </c>
      <c r="BC11" s="47">
        <f t="shared" si="53"/>
        <v>920271.3019</v>
      </c>
      <c r="BD11" s="47">
        <f t="shared" si="53"/>
        <v>926451.3067</v>
      </c>
      <c r="BE11" s="47">
        <f t="shared" si="53"/>
        <v>797081.304</v>
      </c>
      <c r="BF11" s="47">
        <f t="shared" si="53"/>
        <v>816034.6958</v>
      </c>
      <c r="BG11" s="47">
        <f t="shared" si="53"/>
        <v>380569.5954</v>
      </c>
      <c r="BH11" s="47">
        <f t="shared" si="53"/>
        <v>424699.2471</v>
      </c>
      <c r="BI11" s="47">
        <f t="shared" si="53"/>
        <v>4265107.451</v>
      </c>
      <c r="BJ11" s="71"/>
      <c r="BK11" s="47">
        <f t="shared" ref="BK11:BW11" si="54">BK87</f>
        <v>452907.0705</v>
      </c>
      <c r="BL11" s="47">
        <f t="shared" si="54"/>
        <v>431365.2699</v>
      </c>
      <c r="BM11" s="47">
        <f t="shared" si="54"/>
        <v>275416.861</v>
      </c>
      <c r="BN11" s="47">
        <f t="shared" si="54"/>
        <v>215798.2231</v>
      </c>
      <c r="BO11" s="47">
        <f t="shared" si="54"/>
        <v>277942.792</v>
      </c>
      <c r="BP11" s="47">
        <f t="shared" si="54"/>
        <v>451357.1857</v>
      </c>
      <c r="BQ11" s="47">
        <f t="shared" si="54"/>
        <v>920271.3019</v>
      </c>
      <c r="BR11" s="47">
        <f t="shared" si="54"/>
        <v>926451.3067</v>
      </c>
      <c r="BS11" s="47">
        <f t="shared" si="54"/>
        <v>797081.304</v>
      </c>
      <c r="BT11" s="47">
        <f t="shared" si="54"/>
        <v>816034.6958</v>
      </c>
      <c r="BU11" s="47">
        <f t="shared" si="54"/>
        <v>380569.5954</v>
      </c>
      <c r="BV11" s="47">
        <f t="shared" si="54"/>
        <v>424699.2471</v>
      </c>
      <c r="BW11" s="47">
        <f t="shared" si="54"/>
        <v>6369894.853</v>
      </c>
      <c r="BX11" s="1"/>
      <c r="BY11" s="47" t="str">
        <f t="shared" ref="BY11:CK11" si="55">BY87</f>
        <v/>
      </c>
      <c r="BZ11" s="47" t="str">
        <f t="shared" si="55"/>
        <v/>
      </c>
      <c r="CA11" s="47" t="str">
        <f t="shared" si="55"/>
        <v/>
      </c>
      <c r="CB11" s="47" t="str">
        <f t="shared" si="55"/>
        <v/>
      </c>
      <c r="CC11" s="47" t="str">
        <f t="shared" si="55"/>
        <v/>
      </c>
      <c r="CD11" s="47" t="str">
        <f t="shared" si="55"/>
        <v/>
      </c>
      <c r="CE11" s="47" t="str">
        <f t="shared" si="55"/>
        <v/>
      </c>
      <c r="CF11" s="47" t="str">
        <f t="shared" si="55"/>
        <v/>
      </c>
      <c r="CG11" s="47" t="str">
        <f t="shared" si="55"/>
        <v/>
      </c>
      <c r="CH11" s="47" t="str">
        <f t="shared" si="55"/>
        <v/>
      </c>
      <c r="CI11" s="47" t="str">
        <f t="shared" si="55"/>
        <v/>
      </c>
      <c r="CJ11" s="47" t="str">
        <f t="shared" si="55"/>
        <v/>
      </c>
      <c r="CK11" s="47" t="str">
        <f t="shared" si="55"/>
        <v/>
      </c>
      <c r="CL11" s="47"/>
      <c r="CM11" s="72"/>
      <c r="CN11" s="72"/>
      <c r="CO11" s="72"/>
      <c r="CP11" s="72"/>
      <c r="CQ11" s="72"/>
      <c r="CR11" s="72"/>
      <c r="CS11" s="72"/>
      <c r="CT11" s="72"/>
      <c r="CU11" s="72"/>
      <c r="CV11" s="72"/>
      <c r="CW11" s="72"/>
      <c r="CX11" s="72"/>
      <c r="CY11" s="72"/>
      <c r="CZ11" s="11"/>
      <c r="DA11" s="47">
        <f t="shared" ref="DA11:DM11" si="56">DA87</f>
        <v>452907.0705</v>
      </c>
      <c r="DB11" s="47" t="str">
        <f t="shared" si="56"/>
        <v/>
      </c>
      <c r="DC11" s="47" t="str">
        <f t="shared" si="56"/>
        <v/>
      </c>
      <c r="DD11" s="47" t="str">
        <f t="shared" si="56"/>
        <v/>
      </c>
      <c r="DE11" s="47" t="str">
        <f t="shared" si="56"/>
        <v/>
      </c>
      <c r="DF11" s="47" t="str">
        <f t="shared" si="56"/>
        <v/>
      </c>
      <c r="DG11" s="47" t="str">
        <f t="shared" si="56"/>
        <v/>
      </c>
      <c r="DH11" s="47" t="str">
        <f t="shared" si="56"/>
        <v/>
      </c>
      <c r="DI11" s="47" t="str">
        <f t="shared" si="56"/>
        <v/>
      </c>
      <c r="DJ11" s="47" t="str">
        <f t="shared" si="56"/>
        <v/>
      </c>
      <c r="DK11" s="47" t="str">
        <f t="shared" si="56"/>
        <v/>
      </c>
      <c r="DL11" s="47" t="str">
        <f t="shared" si="56"/>
        <v/>
      </c>
      <c r="DM11" s="47">
        <f t="shared" si="56"/>
        <v>452907.0705</v>
      </c>
      <c r="DN11" s="47"/>
      <c r="DO11" s="1"/>
      <c r="DP11" s="1"/>
      <c r="DQ11" s="58"/>
    </row>
    <row r="12" outlineLevel="1">
      <c r="A12" s="73"/>
      <c r="B12" s="69" t="s">
        <v>31</v>
      </c>
      <c r="C12" s="51"/>
      <c r="D12" s="70">
        <f t="shared" ref="D12:G12" si="57">D113</f>
        <v>0</v>
      </c>
      <c r="E12" s="70">
        <f t="shared" si="57"/>
        <v>0</v>
      </c>
      <c r="F12" s="70">
        <f t="shared" si="57"/>
        <v>328586.956</v>
      </c>
      <c r="G12" s="70">
        <f t="shared" si="57"/>
        <v>0</v>
      </c>
      <c r="H12" s="48"/>
      <c r="I12" s="66">
        <f t="shared" si="12"/>
        <v>0</v>
      </c>
      <c r="J12" s="67">
        <f t="shared" si="13"/>
        <v>0</v>
      </c>
      <c r="K12" s="66">
        <f t="shared" si="14"/>
        <v>-328586.956</v>
      </c>
      <c r="L12" s="67">
        <f t="shared" si="15"/>
        <v>-1</v>
      </c>
      <c r="M12" s="66">
        <f t="shared" si="16"/>
        <v>0</v>
      </c>
      <c r="N12" s="67">
        <f t="shared" si="17"/>
        <v>0</v>
      </c>
      <c r="O12" s="48"/>
      <c r="P12" s="70">
        <f t="shared" ref="P12:R12" si="58">P113</f>
        <v>0</v>
      </c>
      <c r="Q12" s="70">
        <f t="shared" si="58"/>
        <v>1521450.21</v>
      </c>
      <c r="R12" s="70">
        <f t="shared" si="58"/>
        <v>0</v>
      </c>
      <c r="S12" s="48"/>
      <c r="T12" s="66">
        <f t="shared" si="19"/>
        <v>-1521450.21</v>
      </c>
      <c r="U12" s="67">
        <f t="shared" si="20"/>
        <v>-1</v>
      </c>
      <c r="V12" s="66">
        <f t="shared" si="21"/>
        <v>0</v>
      </c>
      <c r="W12" s="67">
        <f t="shared" si="22"/>
        <v>0</v>
      </c>
      <c r="X12" s="48"/>
      <c r="Y12" s="70">
        <f t="shared" ref="Y12:AB12" si="59">Y113</f>
        <v>1049390.208</v>
      </c>
      <c r="Z12" s="70">
        <f t="shared" si="59"/>
        <v>2834837.718</v>
      </c>
      <c r="AA12" s="70">
        <f t="shared" si="59"/>
        <v>4356287.928</v>
      </c>
      <c r="AB12" s="70">
        <f t="shared" si="59"/>
        <v>0</v>
      </c>
      <c r="AC12" s="48"/>
      <c r="AD12" s="66">
        <f t="shared" si="24"/>
        <v>-3306897.72</v>
      </c>
      <c r="AE12" s="67">
        <f t="shared" si="25"/>
        <v>-0.7591090797</v>
      </c>
      <c r="AF12" s="66">
        <f t="shared" si="26"/>
        <v>1049390.208</v>
      </c>
      <c r="AG12" s="67">
        <f t="shared" si="27"/>
        <v>0</v>
      </c>
      <c r="AH12" s="51"/>
      <c r="AI12" s="47">
        <f t="shared" ref="AI12:AU12" si="60">AI113</f>
        <v>0</v>
      </c>
      <c r="AJ12" s="47">
        <f t="shared" si="60"/>
        <v>0</v>
      </c>
      <c r="AK12" s="47">
        <f t="shared" si="60"/>
        <v>0</v>
      </c>
      <c r="AL12" s="47">
        <f t="shared" si="60"/>
        <v>0</v>
      </c>
      <c r="AM12" s="47">
        <f t="shared" si="60"/>
        <v>0</v>
      </c>
      <c r="AN12" s="47">
        <f t="shared" si="60"/>
        <v>0</v>
      </c>
      <c r="AO12" s="47">
        <f t="shared" si="60"/>
        <v>0</v>
      </c>
      <c r="AP12" s="47">
        <f t="shared" si="60"/>
        <v>0</v>
      </c>
      <c r="AQ12" s="47">
        <f t="shared" si="60"/>
        <v>0</v>
      </c>
      <c r="AR12" s="47">
        <f t="shared" si="60"/>
        <v>532503.115</v>
      </c>
      <c r="AS12" s="47">
        <f t="shared" si="60"/>
        <v>242798.159</v>
      </c>
      <c r="AT12" s="47">
        <f t="shared" si="60"/>
        <v>274088.934</v>
      </c>
      <c r="AU12" s="47">
        <f t="shared" si="60"/>
        <v>1049390.208</v>
      </c>
      <c r="AV12" s="55"/>
      <c r="AW12" s="47">
        <f t="shared" ref="AW12:BI12" si="61">AW113</f>
        <v>0</v>
      </c>
      <c r="AX12" s="47">
        <f t="shared" si="61"/>
        <v>0</v>
      </c>
      <c r="AY12" s="47">
        <f t="shared" si="61"/>
        <v>0</v>
      </c>
      <c r="AZ12" s="47">
        <f t="shared" si="61"/>
        <v>0</v>
      </c>
      <c r="BA12" s="47">
        <f t="shared" si="61"/>
        <v>0</v>
      </c>
      <c r="BB12" s="47">
        <f t="shared" si="61"/>
        <v>0</v>
      </c>
      <c r="BC12" s="47">
        <f t="shared" si="61"/>
        <v>631312.373</v>
      </c>
      <c r="BD12" s="47">
        <f t="shared" si="61"/>
        <v>616052.536</v>
      </c>
      <c r="BE12" s="47">
        <f t="shared" si="61"/>
        <v>538082.601</v>
      </c>
      <c r="BF12" s="47">
        <f t="shared" si="61"/>
        <v>532503.115</v>
      </c>
      <c r="BG12" s="47">
        <f t="shared" si="61"/>
        <v>242798.159</v>
      </c>
      <c r="BH12" s="47">
        <f t="shared" si="61"/>
        <v>274088.934</v>
      </c>
      <c r="BI12" s="47">
        <f t="shared" si="61"/>
        <v>2834837.718</v>
      </c>
      <c r="BJ12" s="71"/>
      <c r="BK12" s="47">
        <f t="shared" ref="BK12:BW12" si="62">BK113</f>
        <v>328468.633</v>
      </c>
      <c r="BL12" s="47">
        <f t="shared" si="62"/>
        <v>314894.517</v>
      </c>
      <c r="BM12" s="47">
        <f t="shared" si="62"/>
        <v>200192.098</v>
      </c>
      <c r="BN12" s="47">
        <f t="shared" si="62"/>
        <v>159670.827</v>
      </c>
      <c r="BO12" s="47">
        <f t="shared" si="62"/>
        <v>189637.179</v>
      </c>
      <c r="BP12" s="47">
        <f t="shared" si="62"/>
        <v>328586.956</v>
      </c>
      <c r="BQ12" s="47">
        <f t="shared" si="62"/>
        <v>631312.373</v>
      </c>
      <c r="BR12" s="47">
        <f t="shared" si="62"/>
        <v>616052.536</v>
      </c>
      <c r="BS12" s="47">
        <f t="shared" si="62"/>
        <v>538082.601</v>
      </c>
      <c r="BT12" s="47">
        <f t="shared" si="62"/>
        <v>532503.115</v>
      </c>
      <c r="BU12" s="47">
        <f t="shared" si="62"/>
        <v>242798.159</v>
      </c>
      <c r="BV12" s="47">
        <f t="shared" si="62"/>
        <v>274088.934</v>
      </c>
      <c r="BW12" s="47">
        <f t="shared" si="62"/>
        <v>4356287.928</v>
      </c>
      <c r="BX12" s="1"/>
      <c r="BY12" s="47" t="str">
        <f t="shared" ref="BY12:CK12" si="63">BY113</f>
        <v/>
      </c>
      <c r="BZ12" s="47" t="str">
        <f t="shared" si="63"/>
        <v/>
      </c>
      <c r="CA12" s="47" t="str">
        <f t="shared" si="63"/>
        <v/>
      </c>
      <c r="CB12" s="47" t="str">
        <f t="shared" si="63"/>
        <v/>
      </c>
      <c r="CC12" s="47" t="str">
        <f t="shared" si="63"/>
        <v/>
      </c>
      <c r="CD12" s="47" t="str">
        <f t="shared" si="63"/>
        <v/>
      </c>
      <c r="CE12" s="47" t="str">
        <f t="shared" si="63"/>
        <v/>
      </c>
      <c r="CF12" s="47" t="str">
        <f t="shared" si="63"/>
        <v/>
      </c>
      <c r="CG12" s="47" t="str">
        <f t="shared" si="63"/>
        <v/>
      </c>
      <c r="CH12" s="47" t="str">
        <f t="shared" si="63"/>
        <v/>
      </c>
      <c r="CI12" s="47" t="str">
        <f t="shared" si="63"/>
        <v/>
      </c>
      <c r="CJ12" s="47" t="str">
        <f t="shared" si="63"/>
        <v/>
      </c>
      <c r="CK12" s="47" t="str">
        <f t="shared" si="63"/>
        <v/>
      </c>
      <c r="CL12" s="47"/>
      <c r="CM12" s="47"/>
      <c r="CN12" s="47"/>
      <c r="CO12" s="47"/>
      <c r="CP12" s="47"/>
      <c r="CQ12" s="47"/>
      <c r="CR12" s="47"/>
      <c r="CS12" s="47"/>
      <c r="CT12" s="47"/>
      <c r="CU12" s="47"/>
      <c r="CV12" s="47"/>
      <c r="CW12" s="47"/>
      <c r="CX12" s="47"/>
      <c r="CY12" s="47"/>
      <c r="CZ12" s="11"/>
      <c r="DA12" s="47">
        <f t="shared" ref="DA12:DM12" si="64">DA113</f>
        <v>328468.633</v>
      </c>
      <c r="DB12" s="47" t="str">
        <f t="shared" si="64"/>
        <v/>
      </c>
      <c r="DC12" s="47" t="str">
        <f t="shared" si="64"/>
        <v/>
      </c>
      <c r="DD12" s="47" t="str">
        <f t="shared" si="64"/>
        <v/>
      </c>
      <c r="DE12" s="47" t="str">
        <f t="shared" si="64"/>
        <v/>
      </c>
      <c r="DF12" s="47" t="str">
        <f t="shared" si="64"/>
        <v/>
      </c>
      <c r="DG12" s="47" t="str">
        <f t="shared" si="64"/>
        <v/>
      </c>
      <c r="DH12" s="47" t="str">
        <f t="shared" si="64"/>
        <v/>
      </c>
      <c r="DI12" s="47" t="str">
        <f t="shared" si="64"/>
        <v/>
      </c>
      <c r="DJ12" s="47" t="str">
        <f t="shared" si="64"/>
        <v/>
      </c>
      <c r="DK12" s="47" t="str">
        <f t="shared" si="64"/>
        <v/>
      </c>
      <c r="DL12" s="47" t="str">
        <f t="shared" si="64"/>
        <v/>
      </c>
      <c r="DM12" s="47">
        <f t="shared" si="64"/>
        <v>328468.633</v>
      </c>
      <c r="DN12" s="47"/>
      <c r="DO12" s="1"/>
      <c r="DP12" s="1"/>
      <c r="DQ12" s="58"/>
    </row>
    <row r="13" outlineLevel="1">
      <c r="A13" s="73"/>
      <c r="B13" s="69" t="s">
        <v>32</v>
      </c>
      <c r="C13" s="51"/>
      <c r="D13" s="70">
        <f t="shared" ref="D13:G13" si="65">-D257</f>
        <v>0</v>
      </c>
      <c r="E13" s="70">
        <f t="shared" si="65"/>
        <v>0</v>
      </c>
      <c r="F13" s="70">
        <f t="shared" si="65"/>
        <v>-161235.1462</v>
      </c>
      <c r="G13" s="70">
        <f t="shared" si="65"/>
        <v>0</v>
      </c>
      <c r="H13" s="48"/>
      <c r="I13" s="66">
        <f t="shared" ref="I13:I14" si="74">(-E13)-(-D13)</f>
        <v>0</v>
      </c>
      <c r="J13" s="60">
        <f t="shared" ref="J13:J14" si="75">IFERROR(I13/ABS(E13),0)</f>
        <v>0</v>
      </c>
      <c r="K13" s="66">
        <f t="shared" ref="K13:K14" si="76">(-F13)-(-D13)</f>
        <v>161235.1462</v>
      </c>
      <c r="L13" s="60">
        <f t="shared" ref="L13:L14" si="77">IFERROR(K13/ABS(F13),0)</f>
        <v>1</v>
      </c>
      <c r="M13" s="66">
        <f t="shared" ref="M13:M14" si="78">(-G13)-(-D13)</f>
        <v>0</v>
      </c>
      <c r="N13" s="60">
        <f t="shared" ref="N13:N14" si="79">IFERROR(M13/ABS(G13),0)</f>
        <v>0</v>
      </c>
      <c r="O13" s="48"/>
      <c r="P13" s="70">
        <f t="shared" ref="P13:R13" si="66">-P257</f>
        <v>0</v>
      </c>
      <c r="Q13" s="70">
        <f t="shared" si="66"/>
        <v>-896747.3763</v>
      </c>
      <c r="R13" s="70">
        <f t="shared" si="66"/>
        <v>0</v>
      </c>
      <c r="S13" s="48"/>
      <c r="T13" s="66">
        <f t="shared" ref="T13:T14" si="81">(-Q13)-(-P13)</f>
        <v>896747.3763</v>
      </c>
      <c r="U13" s="60">
        <f t="shared" ref="U13:U23" si="82">IFERROR(T13/ABS(Q13),0)</f>
        <v>1</v>
      </c>
      <c r="V13" s="66">
        <f t="shared" ref="V13:V14" si="83">(-R13)-(-P13)</f>
        <v>0</v>
      </c>
      <c r="W13" s="60">
        <f t="shared" ref="W13:W23" si="84">IFERROR(V13/ABS(R13),0)</f>
        <v>0</v>
      </c>
      <c r="X13" s="48"/>
      <c r="Y13" s="70">
        <f t="shared" ref="Y13:AB13" si="67">-Y257</f>
        <v>-654459.907</v>
      </c>
      <c r="Z13" s="70">
        <f t="shared" si="67"/>
        <v>-1490392.788</v>
      </c>
      <c r="AA13" s="70">
        <f t="shared" si="67"/>
        <v>-2387140.163</v>
      </c>
      <c r="AB13" s="70">
        <f t="shared" si="67"/>
        <v>0</v>
      </c>
      <c r="AC13" s="48"/>
      <c r="AD13" s="66">
        <f t="shared" ref="AD13:AD14" si="86">(-AA13)-(-Y13)</f>
        <v>1732680.256</v>
      </c>
      <c r="AE13" s="60">
        <f t="shared" ref="AE13:AE23" si="87">IFERROR(AD13/ABS(AA13),0)</f>
        <v>0.7258393466</v>
      </c>
      <c r="AF13" s="66">
        <f t="shared" ref="AF13:AF14" si="88">(-AB13)-(-Y13)</f>
        <v>-654459.907</v>
      </c>
      <c r="AG13" s="60">
        <f t="shared" ref="AG13:AG23" si="89">IFERROR(AF13/ABS(AB13),0)</f>
        <v>0</v>
      </c>
      <c r="AH13" s="51"/>
      <c r="AI13" s="47">
        <f t="shared" ref="AI13:AU13" si="68">-AI257</f>
        <v>0</v>
      </c>
      <c r="AJ13" s="47">
        <f t="shared" si="68"/>
        <v>0</v>
      </c>
      <c r="AK13" s="47">
        <f t="shared" si="68"/>
        <v>0</v>
      </c>
      <c r="AL13" s="47">
        <f t="shared" si="68"/>
        <v>0</v>
      </c>
      <c r="AM13" s="47">
        <f t="shared" si="68"/>
        <v>0</v>
      </c>
      <c r="AN13" s="47">
        <f t="shared" si="68"/>
        <v>0</v>
      </c>
      <c r="AO13" s="47">
        <f t="shared" si="68"/>
        <v>0</v>
      </c>
      <c r="AP13" s="47">
        <f t="shared" si="68"/>
        <v>0</v>
      </c>
      <c r="AQ13" s="47">
        <f t="shared" si="68"/>
        <v>0</v>
      </c>
      <c r="AR13" s="47">
        <f t="shared" si="68"/>
        <v>-277663.2829</v>
      </c>
      <c r="AS13" s="47">
        <f t="shared" si="68"/>
        <v>-182544.6784</v>
      </c>
      <c r="AT13" s="47">
        <f t="shared" si="68"/>
        <v>-194251.9457</v>
      </c>
      <c r="AU13" s="47">
        <f t="shared" si="68"/>
        <v>-654459.907</v>
      </c>
      <c r="AV13" s="55"/>
      <c r="AW13" s="47">
        <f t="shared" ref="AW13:BI13" si="69">-AW257</f>
        <v>0</v>
      </c>
      <c r="AX13" s="47">
        <f t="shared" si="69"/>
        <v>0</v>
      </c>
      <c r="AY13" s="47">
        <f t="shared" si="69"/>
        <v>0</v>
      </c>
      <c r="AZ13" s="47">
        <f t="shared" si="69"/>
        <v>0</v>
      </c>
      <c r="BA13" s="47">
        <f t="shared" si="69"/>
        <v>0</v>
      </c>
      <c r="BB13" s="47">
        <f t="shared" si="69"/>
        <v>0</v>
      </c>
      <c r="BC13" s="47">
        <f t="shared" si="69"/>
        <v>-278694.9253</v>
      </c>
      <c r="BD13" s="47">
        <f t="shared" si="69"/>
        <v>-296554.4241</v>
      </c>
      <c r="BE13" s="47">
        <f t="shared" si="69"/>
        <v>-260683.5312</v>
      </c>
      <c r="BF13" s="47">
        <f t="shared" si="69"/>
        <v>-277663.2829</v>
      </c>
      <c r="BG13" s="47">
        <f t="shared" si="69"/>
        <v>-182544.6784</v>
      </c>
      <c r="BH13" s="47">
        <f t="shared" si="69"/>
        <v>-194251.9457</v>
      </c>
      <c r="BI13" s="47">
        <f t="shared" si="69"/>
        <v>-1490392.788</v>
      </c>
      <c r="BJ13" s="71"/>
      <c r="BK13" s="47">
        <f t="shared" ref="BK13:BW13" si="70">-BK257</f>
        <v>-159481.1182</v>
      </c>
      <c r="BL13" s="47">
        <f t="shared" si="70"/>
        <v>-156564.4606</v>
      </c>
      <c r="BM13" s="47">
        <f t="shared" si="70"/>
        <v>-132057.5391</v>
      </c>
      <c r="BN13" s="47">
        <f t="shared" si="70"/>
        <v>-132477.4921</v>
      </c>
      <c r="BO13" s="47">
        <f t="shared" si="70"/>
        <v>-154931.6199</v>
      </c>
      <c r="BP13" s="47">
        <f t="shared" si="70"/>
        <v>-161235.146</v>
      </c>
      <c r="BQ13" s="47">
        <f t="shared" si="70"/>
        <v>-278694.9253</v>
      </c>
      <c r="BR13" s="47">
        <f t="shared" si="70"/>
        <v>-296554.4242</v>
      </c>
      <c r="BS13" s="47">
        <f t="shared" si="70"/>
        <v>-260683.5311</v>
      </c>
      <c r="BT13" s="47">
        <f t="shared" si="70"/>
        <v>-277663.283</v>
      </c>
      <c r="BU13" s="47">
        <f t="shared" si="70"/>
        <v>-182544.6784</v>
      </c>
      <c r="BV13" s="47">
        <f t="shared" si="70"/>
        <v>-194251.9456</v>
      </c>
      <c r="BW13" s="47">
        <f t="shared" si="70"/>
        <v>-2387140.163</v>
      </c>
      <c r="BX13" s="1"/>
      <c r="BY13" s="47" t="str">
        <f t="shared" ref="BY13:CK13" si="71">-BY257</f>
        <v>#REF!</v>
      </c>
      <c r="BZ13" s="47">
        <f t="shared" si="71"/>
        <v>0</v>
      </c>
      <c r="CA13" s="47">
        <f t="shared" si="71"/>
        <v>0</v>
      </c>
      <c r="CB13" s="47">
        <f t="shared" si="71"/>
        <v>0</v>
      </c>
      <c r="CC13" s="47">
        <f t="shared" si="71"/>
        <v>0</v>
      </c>
      <c r="CD13" s="47">
        <f t="shared" si="71"/>
        <v>0</v>
      </c>
      <c r="CE13" s="47">
        <f t="shared" si="71"/>
        <v>0</v>
      </c>
      <c r="CF13" s="47">
        <f t="shared" si="71"/>
        <v>0</v>
      </c>
      <c r="CG13" s="47">
        <f t="shared" si="71"/>
        <v>0</v>
      </c>
      <c r="CH13" s="47">
        <f t="shared" si="71"/>
        <v>0</v>
      </c>
      <c r="CI13" s="47">
        <f t="shared" si="71"/>
        <v>0</v>
      </c>
      <c r="CJ13" s="47">
        <f t="shared" si="71"/>
        <v>0</v>
      </c>
      <c r="CK13" s="47">
        <f t="shared" si="71"/>
        <v>0</v>
      </c>
      <c r="CL13" s="47"/>
      <c r="CM13" s="47"/>
      <c r="CN13" s="47"/>
      <c r="CO13" s="47"/>
      <c r="CP13" s="47"/>
      <c r="CQ13" s="47"/>
      <c r="CR13" s="47"/>
      <c r="CS13" s="47"/>
      <c r="CT13" s="47"/>
      <c r="CU13" s="47"/>
      <c r="CV13" s="47"/>
      <c r="CW13" s="47"/>
      <c r="CX13" s="47"/>
      <c r="CY13" s="47"/>
      <c r="CZ13" s="11"/>
      <c r="DA13" s="47">
        <f t="shared" ref="DA13:DM13" si="72">-DA257</f>
        <v>-159481.1182</v>
      </c>
      <c r="DB13" s="47">
        <f t="shared" si="72"/>
        <v>0</v>
      </c>
      <c r="DC13" s="47">
        <f t="shared" si="72"/>
        <v>0</v>
      </c>
      <c r="DD13" s="47">
        <f t="shared" si="72"/>
        <v>0</v>
      </c>
      <c r="DE13" s="47">
        <f t="shared" si="72"/>
        <v>0</v>
      </c>
      <c r="DF13" s="47">
        <f t="shared" si="72"/>
        <v>0</v>
      </c>
      <c r="DG13" s="47">
        <f t="shared" si="72"/>
        <v>0</v>
      </c>
      <c r="DH13" s="47">
        <f t="shared" si="72"/>
        <v>0</v>
      </c>
      <c r="DI13" s="47">
        <f t="shared" si="72"/>
        <v>0</v>
      </c>
      <c r="DJ13" s="47">
        <f t="shared" si="72"/>
        <v>0</v>
      </c>
      <c r="DK13" s="47">
        <f t="shared" si="72"/>
        <v>0</v>
      </c>
      <c r="DL13" s="47">
        <f t="shared" si="72"/>
        <v>0</v>
      </c>
      <c r="DM13" s="47">
        <f t="shared" si="72"/>
        <v>-159481.1182</v>
      </c>
      <c r="DN13" s="65"/>
      <c r="DO13" s="1"/>
      <c r="DP13" s="1"/>
      <c r="DQ13" s="58"/>
    </row>
    <row r="14" outlineLevel="1">
      <c r="A14" s="73"/>
      <c r="B14" s="69" t="s">
        <v>33</v>
      </c>
      <c r="C14" s="51"/>
      <c r="D14" s="70">
        <f t="shared" ref="D14:G14" si="73">-D258</f>
        <v>0</v>
      </c>
      <c r="E14" s="70">
        <f t="shared" si="73"/>
        <v>0</v>
      </c>
      <c r="F14" s="70">
        <f t="shared" si="73"/>
        <v>-131552.716</v>
      </c>
      <c r="G14" s="70">
        <f t="shared" si="73"/>
        <v>0</v>
      </c>
      <c r="H14" s="48"/>
      <c r="I14" s="66">
        <f t="shared" si="74"/>
        <v>0</v>
      </c>
      <c r="J14" s="60">
        <f t="shared" si="75"/>
        <v>0</v>
      </c>
      <c r="K14" s="66">
        <f t="shared" si="76"/>
        <v>131552.716</v>
      </c>
      <c r="L14" s="60">
        <f t="shared" si="77"/>
        <v>1</v>
      </c>
      <c r="M14" s="66">
        <f t="shared" si="78"/>
        <v>0</v>
      </c>
      <c r="N14" s="60">
        <f t="shared" si="79"/>
        <v>0</v>
      </c>
      <c r="O14" s="48"/>
      <c r="P14" s="70">
        <f t="shared" ref="P14:R14" si="80">-P258</f>
        <v>0</v>
      </c>
      <c r="Q14" s="70">
        <f t="shared" si="80"/>
        <v>-612941.123</v>
      </c>
      <c r="R14" s="70">
        <f t="shared" si="80"/>
        <v>0</v>
      </c>
      <c r="S14" s="48"/>
      <c r="T14" s="66">
        <f t="shared" si="81"/>
        <v>612941.123</v>
      </c>
      <c r="U14" s="60">
        <f t="shared" si="82"/>
        <v>1</v>
      </c>
      <c r="V14" s="66">
        <f t="shared" si="83"/>
        <v>0</v>
      </c>
      <c r="W14" s="60">
        <f t="shared" si="84"/>
        <v>0</v>
      </c>
      <c r="X14" s="48"/>
      <c r="Y14" s="70">
        <f t="shared" ref="Y14:AB14" si="85">-Y258</f>
        <v>-391663.365</v>
      </c>
      <c r="Z14" s="70">
        <f t="shared" si="85"/>
        <v>-1049400.516</v>
      </c>
      <c r="AA14" s="70">
        <f t="shared" si="85"/>
        <v>-1662341.639</v>
      </c>
      <c r="AB14" s="70">
        <f t="shared" si="85"/>
        <v>0</v>
      </c>
      <c r="AC14" s="48"/>
      <c r="AD14" s="66">
        <f t="shared" si="86"/>
        <v>1270678.274</v>
      </c>
      <c r="AE14" s="60">
        <f t="shared" si="87"/>
        <v>0.7643905706</v>
      </c>
      <c r="AF14" s="66">
        <f t="shared" si="88"/>
        <v>-391663.365</v>
      </c>
      <c r="AG14" s="60">
        <f t="shared" si="89"/>
        <v>0</v>
      </c>
      <c r="AH14" s="51"/>
      <c r="AI14" s="47">
        <f t="shared" ref="AI14:AU14" si="90">-AI258</f>
        <v>0</v>
      </c>
      <c r="AJ14" s="47">
        <f t="shared" si="90"/>
        <v>0</v>
      </c>
      <c r="AK14" s="47">
        <f t="shared" si="90"/>
        <v>0</v>
      </c>
      <c r="AL14" s="47">
        <f t="shared" si="90"/>
        <v>0</v>
      </c>
      <c r="AM14" s="47">
        <f t="shared" si="90"/>
        <v>0</v>
      </c>
      <c r="AN14" s="47">
        <f t="shared" si="90"/>
        <v>0</v>
      </c>
      <c r="AO14" s="47">
        <f t="shared" si="90"/>
        <v>0</v>
      </c>
      <c r="AP14" s="47">
        <f t="shared" si="90"/>
        <v>0</v>
      </c>
      <c r="AQ14" s="47">
        <f t="shared" si="90"/>
        <v>0</v>
      </c>
      <c r="AR14" s="47">
        <f t="shared" si="90"/>
        <v>-192022.833</v>
      </c>
      <c r="AS14" s="47">
        <f t="shared" si="90"/>
        <v>-91798.191</v>
      </c>
      <c r="AT14" s="47">
        <f t="shared" si="90"/>
        <v>-107842.341</v>
      </c>
      <c r="AU14" s="47">
        <f t="shared" si="90"/>
        <v>-391663.365</v>
      </c>
      <c r="AV14" s="55"/>
      <c r="AW14" s="47">
        <f t="shared" ref="AW14:BI14" si="91">-AW258</f>
        <v>0</v>
      </c>
      <c r="AX14" s="47">
        <f t="shared" si="91"/>
        <v>0</v>
      </c>
      <c r="AY14" s="47">
        <f t="shared" si="91"/>
        <v>0</v>
      </c>
      <c r="AZ14" s="47">
        <f t="shared" si="91"/>
        <v>0</v>
      </c>
      <c r="BA14" s="47">
        <f t="shared" si="91"/>
        <v>0</v>
      </c>
      <c r="BB14" s="47">
        <f t="shared" si="91"/>
        <v>0</v>
      </c>
      <c r="BC14" s="47">
        <f t="shared" si="91"/>
        <v>-234705.953</v>
      </c>
      <c r="BD14" s="47">
        <f t="shared" si="91"/>
        <v>-229732.362</v>
      </c>
      <c r="BE14" s="47">
        <f t="shared" si="91"/>
        <v>-193298.836</v>
      </c>
      <c r="BF14" s="47">
        <f t="shared" si="91"/>
        <v>-192022.833</v>
      </c>
      <c r="BG14" s="47">
        <f t="shared" si="91"/>
        <v>-91798.191</v>
      </c>
      <c r="BH14" s="47">
        <f t="shared" si="91"/>
        <v>-107842.341</v>
      </c>
      <c r="BI14" s="47">
        <f t="shared" si="91"/>
        <v>-1049400.516</v>
      </c>
      <c r="BJ14" s="71"/>
      <c r="BK14" s="47">
        <f t="shared" ref="BK14:BW14" si="92">-BK258</f>
        <v>-130039.401</v>
      </c>
      <c r="BL14" s="47">
        <f t="shared" si="92"/>
        <v>-121731.918</v>
      </c>
      <c r="BM14" s="47">
        <f t="shared" si="92"/>
        <v>-80202.201</v>
      </c>
      <c r="BN14" s="47">
        <f t="shared" si="92"/>
        <v>-67335.258</v>
      </c>
      <c r="BO14" s="47">
        <f t="shared" si="92"/>
        <v>-82079.629</v>
      </c>
      <c r="BP14" s="47">
        <f t="shared" si="92"/>
        <v>-131552.716</v>
      </c>
      <c r="BQ14" s="47">
        <f t="shared" si="92"/>
        <v>-234705.953</v>
      </c>
      <c r="BR14" s="47">
        <f t="shared" si="92"/>
        <v>-229732.362</v>
      </c>
      <c r="BS14" s="47">
        <f t="shared" si="92"/>
        <v>-193298.836</v>
      </c>
      <c r="BT14" s="47">
        <f t="shared" si="92"/>
        <v>-192022.833</v>
      </c>
      <c r="BU14" s="47">
        <f t="shared" si="92"/>
        <v>-91798.191</v>
      </c>
      <c r="BV14" s="47">
        <f t="shared" si="92"/>
        <v>-107842.341</v>
      </c>
      <c r="BW14" s="47">
        <f t="shared" si="92"/>
        <v>-1662341.639</v>
      </c>
      <c r="BX14" s="1"/>
      <c r="BY14" s="47">
        <f t="shared" ref="BY14:CK14" si="93">-BY258</f>
        <v>0</v>
      </c>
      <c r="BZ14" s="47">
        <f t="shared" si="93"/>
        <v>0</v>
      </c>
      <c r="CA14" s="47">
        <f t="shared" si="93"/>
        <v>0</v>
      </c>
      <c r="CB14" s="47">
        <f t="shared" si="93"/>
        <v>0</v>
      </c>
      <c r="CC14" s="47">
        <f t="shared" si="93"/>
        <v>0</v>
      </c>
      <c r="CD14" s="47">
        <f t="shared" si="93"/>
        <v>0</v>
      </c>
      <c r="CE14" s="47">
        <f t="shared" si="93"/>
        <v>0</v>
      </c>
      <c r="CF14" s="47">
        <f t="shared" si="93"/>
        <v>0</v>
      </c>
      <c r="CG14" s="47">
        <f t="shared" si="93"/>
        <v>0</v>
      </c>
      <c r="CH14" s="47">
        <f t="shared" si="93"/>
        <v>0</v>
      </c>
      <c r="CI14" s="47">
        <f t="shared" si="93"/>
        <v>0</v>
      </c>
      <c r="CJ14" s="47">
        <f t="shared" si="93"/>
        <v>0</v>
      </c>
      <c r="CK14" s="47">
        <f t="shared" si="93"/>
        <v>0</v>
      </c>
      <c r="CL14" s="47"/>
      <c r="CM14" s="47"/>
      <c r="CN14" s="47"/>
      <c r="CO14" s="47"/>
      <c r="CP14" s="47"/>
      <c r="CQ14" s="47"/>
      <c r="CR14" s="47"/>
      <c r="CS14" s="47"/>
      <c r="CT14" s="47"/>
      <c r="CU14" s="47"/>
      <c r="CV14" s="47"/>
      <c r="CW14" s="47"/>
      <c r="CX14" s="47"/>
      <c r="CY14" s="47"/>
      <c r="CZ14" s="11"/>
      <c r="DA14" s="47">
        <f t="shared" ref="DA14:DM14" si="94">-DA258</f>
        <v>-130039.401</v>
      </c>
      <c r="DB14" s="47">
        <f t="shared" si="94"/>
        <v>0</v>
      </c>
      <c r="DC14" s="47">
        <f t="shared" si="94"/>
        <v>0</v>
      </c>
      <c r="DD14" s="47">
        <f t="shared" si="94"/>
        <v>0</v>
      </c>
      <c r="DE14" s="47">
        <f t="shared" si="94"/>
        <v>0</v>
      </c>
      <c r="DF14" s="47">
        <f t="shared" si="94"/>
        <v>0</v>
      </c>
      <c r="DG14" s="47">
        <f t="shared" si="94"/>
        <v>0</v>
      </c>
      <c r="DH14" s="47">
        <f t="shared" si="94"/>
        <v>0</v>
      </c>
      <c r="DI14" s="47">
        <f t="shared" si="94"/>
        <v>0</v>
      </c>
      <c r="DJ14" s="47">
        <f t="shared" si="94"/>
        <v>0</v>
      </c>
      <c r="DK14" s="47">
        <f t="shared" si="94"/>
        <v>0</v>
      </c>
      <c r="DL14" s="47">
        <f t="shared" si="94"/>
        <v>0</v>
      </c>
      <c r="DM14" s="47">
        <f t="shared" si="94"/>
        <v>-130039.401</v>
      </c>
      <c r="DN14" s="65"/>
      <c r="DO14" s="1"/>
      <c r="DP14" s="1"/>
      <c r="DQ14" s="58"/>
    </row>
    <row r="15" outlineLevel="1">
      <c r="A15" s="15"/>
      <c r="B15" s="64" t="s">
        <v>34</v>
      </c>
      <c r="C15" s="51"/>
      <c r="D15" s="74">
        <f t="shared" ref="D15:G15" si="95">D262</f>
        <v>0</v>
      </c>
      <c r="E15" s="74">
        <f t="shared" si="95"/>
        <v>0</v>
      </c>
      <c r="F15" s="74">
        <f t="shared" si="95"/>
        <v>158569.3235</v>
      </c>
      <c r="G15" s="74">
        <f t="shared" si="95"/>
        <v>0</v>
      </c>
      <c r="H15" s="48"/>
      <c r="I15" s="75">
        <f>D15-E15</f>
        <v>0</v>
      </c>
      <c r="J15" s="60">
        <f>IFERROR(I15/(E15),0)</f>
        <v>0</v>
      </c>
      <c r="K15" s="75">
        <f>D15-F15</f>
        <v>-158569.3235</v>
      </c>
      <c r="L15" s="60">
        <f>IFERROR(K15/(F15),0)</f>
        <v>-1</v>
      </c>
      <c r="M15" s="75">
        <f>D15-G15</f>
        <v>0</v>
      </c>
      <c r="N15" s="60">
        <f>IFERROR(M15/G15,0)</f>
        <v>0</v>
      </c>
      <c r="O15" s="48"/>
      <c r="P15" s="74">
        <f t="shared" ref="P15:R15" si="96">P262</f>
        <v>0</v>
      </c>
      <c r="Q15" s="74">
        <f t="shared" si="96"/>
        <v>595098.903</v>
      </c>
      <c r="R15" s="74">
        <f t="shared" si="96"/>
        <v>0</v>
      </c>
      <c r="S15" s="48"/>
      <c r="T15" s="75">
        <f>P15-Q15</f>
        <v>-595098.903</v>
      </c>
      <c r="U15" s="60">
        <f t="shared" si="82"/>
        <v>-1</v>
      </c>
      <c r="V15" s="75">
        <f>P15-R15</f>
        <v>0</v>
      </c>
      <c r="W15" s="60">
        <f t="shared" si="84"/>
        <v>0</v>
      </c>
      <c r="X15" s="48"/>
      <c r="Y15" s="74">
        <f t="shared" ref="Y15:AB15" si="97">Y262</f>
        <v>575180.2663</v>
      </c>
      <c r="Z15" s="74">
        <f t="shared" si="97"/>
        <v>1725314.147</v>
      </c>
      <c r="AA15" s="74">
        <f t="shared" si="97"/>
        <v>2320413.051</v>
      </c>
      <c r="AB15" s="74">
        <f t="shared" si="97"/>
        <v>0</v>
      </c>
      <c r="AC15" s="48"/>
      <c r="AD15" s="75">
        <f>Y15-AA15</f>
        <v>-1745232.784</v>
      </c>
      <c r="AE15" s="60">
        <f t="shared" si="87"/>
        <v>-0.7521216035</v>
      </c>
      <c r="AF15" s="75">
        <f>Y15-AB15</f>
        <v>575180.2663</v>
      </c>
      <c r="AG15" s="60">
        <f t="shared" si="89"/>
        <v>0</v>
      </c>
      <c r="AH15" s="51"/>
      <c r="AI15" s="65">
        <f t="shared" ref="AI15:AU15" si="98">AI262</f>
        <v>0</v>
      </c>
      <c r="AJ15" s="65">
        <f t="shared" si="98"/>
        <v>0</v>
      </c>
      <c r="AK15" s="65">
        <f t="shared" si="98"/>
        <v>0</v>
      </c>
      <c r="AL15" s="65">
        <f t="shared" si="98"/>
        <v>0</v>
      </c>
      <c r="AM15" s="65">
        <f t="shared" si="98"/>
        <v>0</v>
      </c>
      <c r="AN15" s="65">
        <f t="shared" si="98"/>
        <v>0</v>
      </c>
      <c r="AO15" s="65">
        <f t="shared" si="98"/>
        <v>0</v>
      </c>
      <c r="AP15" s="65">
        <f t="shared" si="98"/>
        <v>0</v>
      </c>
      <c r="AQ15" s="65">
        <f t="shared" si="98"/>
        <v>0</v>
      </c>
      <c r="AR15" s="65">
        <f t="shared" si="98"/>
        <v>346348.5799</v>
      </c>
      <c r="AS15" s="65">
        <f t="shared" si="98"/>
        <v>106226.726</v>
      </c>
      <c r="AT15" s="65">
        <f t="shared" si="98"/>
        <v>122604.9604</v>
      </c>
      <c r="AU15" s="65">
        <f t="shared" si="98"/>
        <v>575180.2663</v>
      </c>
      <c r="AV15" s="55"/>
      <c r="AW15" s="65">
        <f t="shared" ref="AW15:BI15" si="99">AW262</f>
        <v>0</v>
      </c>
      <c r="AX15" s="65">
        <f t="shared" si="99"/>
        <v>0</v>
      </c>
      <c r="AY15" s="65">
        <f t="shared" si="99"/>
        <v>0</v>
      </c>
      <c r="AZ15" s="65">
        <f t="shared" si="99"/>
        <v>0</v>
      </c>
      <c r="BA15" s="65">
        <f t="shared" si="99"/>
        <v>0</v>
      </c>
      <c r="BB15" s="65">
        <f t="shared" si="99"/>
        <v>0</v>
      </c>
      <c r="BC15" s="65">
        <f t="shared" si="99"/>
        <v>406870.4236</v>
      </c>
      <c r="BD15" s="65">
        <f t="shared" si="99"/>
        <v>400164.5206</v>
      </c>
      <c r="BE15" s="65">
        <f t="shared" si="99"/>
        <v>343098.9368</v>
      </c>
      <c r="BF15" s="65">
        <f t="shared" si="99"/>
        <v>346348.5799</v>
      </c>
      <c r="BG15" s="65">
        <f t="shared" si="99"/>
        <v>106226.726</v>
      </c>
      <c r="BH15" s="65">
        <f t="shared" si="99"/>
        <v>122604.9604</v>
      </c>
      <c r="BI15" s="65">
        <f t="shared" si="99"/>
        <v>1725314.147</v>
      </c>
      <c r="BJ15" s="56"/>
      <c r="BK15" s="65">
        <f t="shared" ref="BK15:BW15" si="100">BK262</f>
        <v>163386.5513</v>
      </c>
      <c r="BL15" s="65">
        <f t="shared" si="100"/>
        <v>153068.8913</v>
      </c>
      <c r="BM15" s="65">
        <f t="shared" si="100"/>
        <v>63157.121</v>
      </c>
      <c r="BN15" s="65">
        <f t="shared" si="100"/>
        <v>15985.473</v>
      </c>
      <c r="BO15" s="65">
        <f t="shared" si="100"/>
        <v>40931.543</v>
      </c>
      <c r="BP15" s="65">
        <f t="shared" si="100"/>
        <v>158569.3238</v>
      </c>
      <c r="BQ15" s="65">
        <f t="shared" si="100"/>
        <v>406870.4236</v>
      </c>
      <c r="BR15" s="65">
        <f t="shared" si="100"/>
        <v>400164.5206</v>
      </c>
      <c r="BS15" s="65">
        <f t="shared" si="100"/>
        <v>343098.9368</v>
      </c>
      <c r="BT15" s="65">
        <f t="shared" si="100"/>
        <v>346348.5798</v>
      </c>
      <c r="BU15" s="65">
        <f t="shared" si="100"/>
        <v>106226.726</v>
      </c>
      <c r="BV15" s="65">
        <f t="shared" si="100"/>
        <v>122604.9605</v>
      </c>
      <c r="BW15" s="65">
        <f t="shared" si="100"/>
        <v>2320413.051</v>
      </c>
      <c r="BX15" s="1"/>
      <c r="BY15" s="65" t="str">
        <f t="shared" ref="BY15:CK15" si="101">BY262</f>
        <v>#REF!</v>
      </c>
      <c r="BZ15" s="65" t="str">
        <f t="shared" si="101"/>
        <v/>
      </c>
      <c r="CA15" s="65" t="str">
        <f t="shared" si="101"/>
        <v/>
      </c>
      <c r="CB15" s="65" t="str">
        <f t="shared" si="101"/>
        <v/>
      </c>
      <c r="CC15" s="65" t="str">
        <f t="shared" si="101"/>
        <v/>
      </c>
      <c r="CD15" s="65" t="str">
        <f t="shared" si="101"/>
        <v/>
      </c>
      <c r="CE15" s="65" t="str">
        <f t="shared" si="101"/>
        <v/>
      </c>
      <c r="CF15" s="65" t="str">
        <f t="shared" si="101"/>
        <v/>
      </c>
      <c r="CG15" s="65" t="str">
        <f t="shared" si="101"/>
        <v/>
      </c>
      <c r="CH15" s="65" t="str">
        <f t="shared" si="101"/>
        <v/>
      </c>
      <c r="CI15" s="65" t="str">
        <f t="shared" si="101"/>
        <v/>
      </c>
      <c r="CJ15" s="65" t="str">
        <f t="shared" si="101"/>
        <v/>
      </c>
      <c r="CK15" s="65" t="str">
        <f t="shared" si="101"/>
        <v/>
      </c>
      <c r="CL15" s="65"/>
      <c r="CM15" s="65"/>
      <c r="CN15" s="65"/>
      <c r="CO15" s="65"/>
      <c r="CP15" s="65"/>
      <c r="CQ15" s="65"/>
      <c r="CR15" s="65"/>
      <c r="CS15" s="65"/>
      <c r="CT15" s="65"/>
      <c r="CU15" s="65"/>
      <c r="CV15" s="65"/>
      <c r="CW15" s="65"/>
      <c r="CX15" s="65"/>
      <c r="CY15" s="65"/>
      <c r="CZ15" s="11"/>
      <c r="DA15" s="65">
        <f t="shared" ref="DA15:DM15" si="102">DA262</f>
        <v>163386.5513</v>
      </c>
      <c r="DB15" s="65" t="str">
        <f t="shared" si="102"/>
        <v/>
      </c>
      <c r="DC15" s="65" t="str">
        <f t="shared" si="102"/>
        <v/>
      </c>
      <c r="DD15" s="65" t="str">
        <f t="shared" si="102"/>
        <v/>
      </c>
      <c r="DE15" s="65" t="str">
        <f t="shared" si="102"/>
        <v/>
      </c>
      <c r="DF15" s="65" t="str">
        <f t="shared" si="102"/>
        <v/>
      </c>
      <c r="DG15" s="65" t="str">
        <f t="shared" si="102"/>
        <v/>
      </c>
      <c r="DH15" s="65" t="str">
        <f t="shared" si="102"/>
        <v/>
      </c>
      <c r="DI15" s="65" t="str">
        <f t="shared" si="102"/>
        <v/>
      </c>
      <c r="DJ15" s="65" t="str">
        <f t="shared" si="102"/>
        <v/>
      </c>
      <c r="DK15" s="65" t="str">
        <f t="shared" si="102"/>
        <v/>
      </c>
      <c r="DL15" s="65" t="str">
        <f t="shared" si="102"/>
        <v/>
      </c>
      <c r="DM15" s="65">
        <f t="shared" si="102"/>
        <v>163386.5513</v>
      </c>
      <c r="DN15" s="65"/>
      <c r="DO15" s="1"/>
      <c r="DP15" s="1"/>
      <c r="DQ15" s="58"/>
    </row>
    <row r="16" outlineLevel="1">
      <c r="A16" s="73"/>
      <c r="B16" s="69" t="s">
        <v>35</v>
      </c>
      <c r="C16" s="51"/>
      <c r="D16" s="70">
        <f t="shared" ref="D16:G16" si="103">-(D268)</f>
        <v>0</v>
      </c>
      <c r="E16" s="70">
        <f t="shared" si="103"/>
        <v>0</v>
      </c>
      <c r="F16" s="70">
        <f t="shared" si="103"/>
        <v>0</v>
      </c>
      <c r="G16" s="70">
        <f t="shared" si="103"/>
        <v>0</v>
      </c>
      <c r="H16" s="48"/>
      <c r="I16" s="66">
        <f t="shared" ref="I16:I17" si="112">(-E16)-(-D16)</f>
        <v>0</v>
      </c>
      <c r="J16" s="67">
        <f t="shared" ref="J16:J17" si="113">IFERROR(I16/ABS(E16),0)</f>
        <v>0</v>
      </c>
      <c r="K16" s="66">
        <f t="shared" ref="K16:K17" si="114">(-F16)-(-D16)</f>
        <v>0</v>
      </c>
      <c r="L16" s="67">
        <f t="shared" ref="L16:L17" si="115">IFERROR(K16/ABS(F16),0)</f>
        <v>0</v>
      </c>
      <c r="M16" s="66">
        <f t="shared" ref="M16:M17" si="116">(-G16)-(-D16)</f>
        <v>0</v>
      </c>
      <c r="N16" s="67">
        <f t="shared" ref="N16:N23" si="117">IFERROR(M16/ABS(G16),0)</f>
        <v>0</v>
      </c>
      <c r="O16" s="48"/>
      <c r="P16" s="70">
        <f t="shared" ref="P16:R16" si="104">-(P268)</f>
        <v>0</v>
      </c>
      <c r="Q16" s="70">
        <f t="shared" si="104"/>
        <v>0</v>
      </c>
      <c r="R16" s="70">
        <f t="shared" si="104"/>
        <v>0</v>
      </c>
      <c r="S16" s="48"/>
      <c r="T16" s="66">
        <f t="shared" ref="T16:T17" si="119">(-Q16)-(-P16)</f>
        <v>0</v>
      </c>
      <c r="U16" s="67">
        <f t="shared" si="82"/>
        <v>0</v>
      </c>
      <c r="V16" s="66">
        <f t="shared" ref="V16:V17" si="120">(-R16)-(-P16)</f>
        <v>0</v>
      </c>
      <c r="W16" s="67">
        <f t="shared" si="84"/>
        <v>0</v>
      </c>
      <c r="X16" s="48"/>
      <c r="Y16" s="70">
        <f t="shared" ref="Y16:AB16" si="105">-(Y268)</f>
        <v>0</v>
      </c>
      <c r="Z16" s="70">
        <f t="shared" si="105"/>
        <v>0</v>
      </c>
      <c r="AA16" s="70">
        <f t="shared" si="105"/>
        <v>0</v>
      </c>
      <c r="AB16" s="70">
        <f t="shared" si="105"/>
        <v>0</v>
      </c>
      <c r="AC16" s="48"/>
      <c r="AD16" s="66">
        <f t="shared" ref="AD16:AD17" si="122">(-AA16)-(-Y16)</f>
        <v>0</v>
      </c>
      <c r="AE16" s="67">
        <f t="shared" si="87"/>
        <v>0</v>
      </c>
      <c r="AF16" s="66">
        <f t="shared" ref="AF16:AF17" si="123">(-AB16)-(-Y16)</f>
        <v>0</v>
      </c>
      <c r="AG16" s="67">
        <f t="shared" si="89"/>
        <v>0</v>
      </c>
      <c r="AH16" s="51"/>
      <c r="AI16" s="70">
        <f t="shared" ref="AI16:AU16" si="106">-(AI268)</f>
        <v>0</v>
      </c>
      <c r="AJ16" s="70">
        <f t="shared" si="106"/>
        <v>0</v>
      </c>
      <c r="AK16" s="70">
        <f t="shared" si="106"/>
        <v>0</v>
      </c>
      <c r="AL16" s="70">
        <f t="shared" si="106"/>
        <v>0</v>
      </c>
      <c r="AM16" s="70">
        <f t="shared" si="106"/>
        <v>0</v>
      </c>
      <c r="AN16" s="70">
        <f t="shared" si="106"/>
        <v>0</v>
      </c>
      <c r="AO16" s="70">
        <f t="shared" si="106"/>
        <v>0</v>
      </c>
      <c r="AP16" s="70">
        <f t="shared" si="106"/>
        <v>0</v>
      </c>
      <c r="AQ16" s="70">
        <f t="shared" si="106"/>
        <v>0</v>
      </c>
      <c r="AR16" s="70">
        <f t="shared" si="106"/>
        <v>0</v>
      </c>
      <c r="AS16" s="70">
        <f t="shared" si="106"/>
        <v>0</v>
      </c>
      <c r="AT16" s="70">
        <f t="shared" si="106"/>
        <v>0</v>
      </c>
      <c r="AU16" s="70">
        <f t="shared" si="106"/>
        <v>0</v>
      </c>
      <c r="AV16" s="55"/>
      <c r="AW16" s="70">
        <f t="shared" ref="AW16:BI16" si="107">-(AW268)</f>
        <v>0</v>
      </c>
      <c r="AX16" s="70">
        <f t="shared" si="107"/>
        <v>0</v>
      </c>
      <c r="AY16" s="70">
        <f t="shared" si="107"/>
        <v>0</v>
      </c>
      <c r="AZ16" s="70">
        <f t="shared" si="107"/>
        <v>0</v>
      </c>
      <c r="BA16" s="70">
        <f t="shared" si="107"/>
        <v>0</v>
      </c>
      <c r="BB16" s="70">
        <f t="shared" si="107"/>
        <v>0</v>
      </c>
      <c r="BC16" s="70">
        <f t="shared" si="107"/>
        <v>0</v>
      </c>
      <c r="BD16" s="70">
        <f t="shared" si="107"/>
        <v>0</v>
      </c>
      <c r="BE16" s="70">
        <f t="shared" si="107"/>
        <v>0</v>
      </c>
      <c r="BF16" s="70">
        <f t="shared" si="107"/>
        <v>0</v>
      </c>
      <c r="BG16" s="70">
        <f t="shared" si="107"/>
        <v>0</v>
      </c>
      <c r="BH16" s="70">
        <f t="shared" si="107"/>
        <v>0</v>
      </c>
      <c r="BI16" s="70">
        <f t="shared" si="107"/>
        <v>0</v>
      </c>
      <c r="BJ16" s="71"/>
      <c r="BK16" s="70">
        <f t="shared" ref="BK16:BW16" si="108">-(BK268)</f>
        <v>0</v>
      </c>
      <c r="BL16" s="70">
        <f t="shared" si="108"/>
        <v>0</v>
      </c>
      <c r="BM16" s="70">
        <f t="shared" si="108"/>
        <v>0</v>
      </c>
      <c r="BN16" s="70">
        <f t="shared" si="108"/>
        <v>0</v>
      </c>
      <c r="BO16" s="70">
        <f t="shared" si="108"/>
        <v>0</v>
      </c>
      <c r="BP16" s="70">
        <f t="shared" si="108"/>
        <v>0</v>
      </c>
      <c r="BQ16" s="70">
        <f t="shared" si="108"/>
        <v>0</v>
      </c>
      <c r="BR16" s="70">
        <f t="shared" si="108"/>
        <v>0</v>
      </c>
      <c r="BS16" s="70">
        <f t="shared" si="108"/>
        <v>0</v>
      </c>
      <c r="BT16" s="70">
        <f t="shared" si="108"/>
        <v>0</v>
      </c>
      <c r="BU16" s="70">
        <f t="shared" si="108"/>
        <v>0</v>
      </c>
      <c r="BV16" s="70">
        <f t="shared" si="108"/>
        <v>0</v>
      </c>
      <c r="BW16" s="70">
        <f t="shared" si="108"/>
        <v>0</v>
      </c>
      <c r="BX16" s="1"/>
      <c r="BY16" s="70">
        <f t="shared" ref="BY16:CK16" si="109">-(BY268)</f>
        <v>0</v>
      </c>
      <c r="BZ16" s="70">
        <f t="shared" si="109"/>
        <v>0</v>
      </c>
      <c r="CA16" s="70">
        <f t="shared" si="109"/>
        <v>0</v>
      </c>
      <c r="CB16" s="70">
        <f t="shared" si="109"/>
        <v>0</v>
      </c>
      <c r="CC16" s="70">
        <f t="shared" si="109"/>
        <v>0</v>
      </c>
      <c r="CD16" s="70">
        <f t="shared" si="109"/>
        <v>0</v>
      </c>
      <c r="CE16" s="70">
        <f t="shared" si="109"/>
        <v>0</v>
      </c>
      <c r="CF16" s="70">
        <f t="shared" si="109"/>
        <v>0</v>
      </c>
      <c r="CG16" s="70">
        <f t="shared" si="109"/>
        <v>0</v>
      </c>
      <c r="CH16" s="70">
        <f t="shared" si="109"/>
        <v>0</v>
      </c>
      <c r="CI16" s="70">
        <f t="shared" si="109"/>
        <v>0</v>
      </c>
      <c r="CJ16" s="70">
        <f t="shared" si="109"/>
        <v>0</v>
      </c>
      <c r="CK16" s="70">
        <f t="shared" si="109"/>
        <v>0</v>
      </c>
      <c r="CL16" s="65"/>
      <c r="CM16" s="72"/>
      <c r="CN16" s="72"/>
      <c r="CO16" s="72"/>
      <c r="CP16" s="72"/>
      <c r="CQ16" s="72"/>
      <c r="CR16" s="72"/>
      <c r="CS16" s="72"/>
      <c r="CT16" s="72"/>
      <c r="CU16" s="72"/>
      <c r="CV16" s="72"/>
      <c r="CW16" s="72"/>
      <c r="CX16" s="72"/>
      <c r="CY16" s="72"/>
      <c r="CZ16" s="11"/>
      <c r="DA16" s="70">
        <f t="shared" ref="DA16:DM16" si="110">-(DA268)</f>
        <v>0</v>
      </c>
      <c r="DB16" s="70">
        <f t="shared" si="110"/>
        <v>0</v>
      </c>
      <c r="DC16" s="70">
        <f t="shared" si="110"/>
        <v>0</v>
      </c>
      <c r="DD16" s="70">
        <f t="shared" si="110"/>
        <v>0</v>
      </c>
      <c r="DE16" s="70">
        <f t="shared" si="110"/>
        <v>0</v>
      </c>
      <c r="DF16" s="70">
        <f t="shared" si="110"/>
        <v>0</v>
      </c>
      <c r="DG16" s="70">
        <f t="shared" si="110"/>
        <v>0</v>
      </c>
      <c r="DH16" s="70">
        <f t="shared" si="110"/>
        <v>0</v>
      </c>
      <c r="DI16" s="70">
        <f t="shared" si="110"/>
        <v>0</v>
      </c>
      <c r="DJ16" s="70">
        <f t="shared" si="110"/>
        <v>0</v>
      </c>
      <c r="DK16" s="70">
        <f t="shared" si="110"/>
        <v>0</v>
      </c>
      <c r="DL16" s="70">
        <f t="shared" si="110"/>
        <v>0</v>
      </c>
      <c r="DM16" s="70">
        <f t="shared" si="110"/>
        <v>0</v>
      </c>
      <c r="DN16" s="65"/>
      <c r="DO16" s="1"/>
      <c r="DP16" s="1"/>
      <c r="DQ16" s="58"/>
    </row>
    <row r="17" outlineLevel="1">
      <c r="A17" s="73"/>
      <c r="B17" s="69" t="s">
        <v>36</v>
      </c>
      <c r="C17" s="51"/>
      <c r="D17" s="70">
        <f t="shared" ref="D17:G17" si="111">-(D269)</f>
        <v>0</v>
      </c>
      <c r="E17" s="70">
        <f t="shared" si="111"/>
        <v>0</v>
      </c>
      <c r="F17" s="70">
        <f t="shared" si="111"/>
        <v>0</v>
      </c>
      <c r="G17" s="70">
        <f t="shared" si="111"/>
        <v>0</v>
      </c>
      <c r="H17" s="48"/>
      <c r="I17" s="66">
        <f t="shared" si="112"/>
        <v>0</v>
      </c>
      <c r="J17" s="67">
        <f t="shared" si="113"/>
        <v>0</v>
      </c>
      <c r="K17" s="66">
        <f t="shared" si="114"/>
        <v>0</v>
      </c>
      <c r="L17" s="67">
        <f t="shared" si="115"/>
        <v>0</v>
      </c>
      <c r="M17" s="66">
        <f t="shared" si="116"/>
        <v>0</v>
      </c>
      <c r="N17" s="67">
        <f t="shared" si="117"/>
        <v>0</v>
      </c>
      <c r="O17" s="48"/>
      <c r="P17" s="70">
        <f t="shared" ref="P17:R17" si="118">-(P269)</f>
        <v>0</v>
      </c>
      <c r="Q17" s="70">
        <f t="shared" si="118"/>
        <v>0</v>
      </c>
      <c r="R17" s="70">
        <f t="shared" si="118"/>
        <v>0</v>
      </c>
      <c r="S17" s="48"/>
      <c r="T17" s="66">
        <f t="shared" si="119"/>
        <v>0</v>
      </c>
      <c r="U17" s="67">
        <f t="shared" si="82"/>
        <v>0</v>
      </c>
      <c r="V17" s="66">
        <f t="shared" si="120"/>
        <v>0</v>
      </c>
      <c r="W17" s="67">
        <f t="shared" si="84"/>
        <v>0</v>
      </c>
      <c r="X17" s="48"/>
      <c r="Y17" s="70">
        <f t="shared" ref="Y17:AB17" si="121">-(Y269)</f>
        <v>0</v>
      </c>
      <c r="Z17" s="70">
        <f t="shared" si="121"/>
        <v>0</v>
      </c>
      <c r="AA17" s="70">
        <f t="shared" si="121"/>
        <v>0</v>
      </c>
      <c r="AB17" s="70">
        <f t="shared" si="121"/>
        <v>0</v>
      </c>
      <c r="AC17" s="48"/>
      <c r="AD17" s="66">
        <f t="shared" si="122"/>
        <v>0</v>
      </c>
      <c r="AE17" s="67">
        <f t="shared" si="87"/>
        <v>0</v>
      </c>
      <c r="AF17" s="66">
        <f t="shared" si="123"/>
        <v>0</v>
      </c>
      <c r="AG17" s="67">
        <f t="shared" si="89"/>
        <v>0</v>
      </c>
      <c r="AH17" s="51"/>
      <c r="AI17" s="47">
        <f t="shared" ref="AI17:AU17" si="124">-(AI269)</f>
        <v>0</v>
      </c>
      <c r="AJ17" s="47">
        <f t="shared" si="124"/>
        <v>0</v>
      </c>
      <c r="AK17" s="47">
        <f t="shared" si="124"/>
        <v>0</v>
      </c>
      <c r="AL17" s="47">
        <f t="shared" si="124"/>
        <v>0</v>
      </c>
      <c r="AM17" s="47">
        <f t="shared" si="124"/>
        <v>0</v>
      </c>
      <c r="AN17" s="47">
        <f t="shared" si="124"/>
        <v>0</v>
      </c>
      <c r="AO17" s="47">
        <f t="shared" si="124"/>
        <v>0</v>
      </c>
      <c r="AP17" s="47">
        <f t="shared" si="124"/>
        <v>0</v>
      </c>
      <c r="AQ17" s="47">
        <f t="shared" si="124"/>
        <v>0</v>
      </c>
      <c r="AR17" s="47">
        <f t="shared" si="124"/>
        <v>0</v>
      </c>
      <c r="AS17" s="47">
        <f t="shared" si="124"/>
        <v>0</v>
      </c>
      <c r="AT17" s="47">
        <f t="shared" si="124"/>
        <v>0</v>
      </c>
      <c r="AU17" s="47">
        <f t="shared" si="124"/>
        <v>0</v>
      </c>
      <c r="AV17" s="55"/>
      <c r="AW17" s="47">
        <f t="shared" ref="AW17:BI17" si="125">-(AW269)</f>
        <v>0</v>
      </c>
      <c r="AX17" s="47">
        <f t="shared" si="125"/>
        <v>0</v>
      </c>
      <c r="AY17" s="47">
        <f t="shared" si="125"/>
        <v>0</v>
      </c>
      <c r="AZ17" s="47">
        <f t="shared" si="125"/>
        <v>0</v>
      </c>
      <c r="BA17" s="47">
        <f t="shared" si="125"/>
        <v>0</v>
      </c>
      <c r="BB17" s="47">
        <f t="shared" si="125"/>
        <v>0</v>
      </c>
      <c r="BC17" s="47">
        <f t="shared" si="125"/>
        <v>0</v>
      </c>
      <c r="BD17" s="47">
        <f t="shared" si="125"/>
        <v>0</v>
      </c>
      <c r="BE17" s="47">
        <f t="shared" si="125"/>
        <v>0</v>
      </c>
      <c r="BF17" s="47">
        <f t="shared" si="125"/>
        <v>0</v>
      </c>
      <c r="BG17" s="47">
        <f t="shared" si="125"/>
        <v>0</v>
      </c>
      <c r="BH17" s="47">
        <f t="shared" si="125"/>
        <v>0</v>
      </c>
      <c r="BI17" s="47">
        <f t="shared" si="125"/>
        <v>0</v>
      </c>
      <c r="BJ17" s="71"/>
      <c r="BK17" s="47">
        <f t="shared" ref="BK17:BW17" si="126">-(BK269)</f>
        <v>0</v>
      </c>
      <c r="BL17" s="47">
        <f t="shared" si="126"/>
        <v>0</v>
      </c>
      <c r="BM17" s="47">
        <f t="shared" si="126"/>
        <v>0</v>
      </c>
      <c r="BN17" s="47">
        <f t="shared" si="126"/>
        <v>0</v>
      </c>
      <c r="BO17" s="47">
        <f t="shared" si="126"/>
        <v>0</v>
      </c>
      <c r="BP17" s="47">
        <f t="shared" si="126"/>
        <v>0</v>
      </c>
      <c r="BQ17" s="47">
        <f t="shared" si="126"/>
        <v>0</v>
      </c>
      <c r="BR17" s="47">
        <f t="shared" si="126"/>
        <v>0</v>
      </c>
      <c r="BS17" s="47">
        <f t="shared" si="126"/>
        <v>0</v>
      </c>
      <c r="BT17" s="47">
        <f t="shared" si="126"/>
        <v>0</v>
      </c>
      <c r="BU17" s="47">
        <f t="shared" si="126"/>
        <v>0</v>
      </c>
      <c r="BV17" s="47">
        <f t="shared" si="126"/>
        <v>0</v>
      </c>
      <c r="BW17" s="47">
        <f t="shared" si="126"/>
        <v>0</v>
      </c>
      <c r="BX17" s="1"/>
      <c r="BY17" s="47">
        <f t="shared" ref="BY17:CK17" si="127">-(BY269)</f>
        <v>0</v>
      </c>
      <c r="BZ17" s="47">
        <f t="shared" si="127"/>
        <v>0</v>
      </c>
      <c r="CA17" s="47">
        <f t="shared" si="127"/>
        <v>0</v>
      </c>
      <c r="CB17" s="47">
        <f t="shared" si="127"/>
        <v>0</v>
      </c>
      <c r="CC17" s="47">
        <f t="shared" si="127"/>
        <v>0</v>
      </c>
      <c r="CD17" s="47">
        <f t="shared" si="127"/>
        <v>0</v>
      </c>
      <c r="CE17" s="47">
        <f t="shared" si="127"/>
        <v>0</v>
      </c>
      <c r="CF17" s="47">
        <f t="shared" si="127"/>
        <v>0</v>
      </c>
      <c r="CG17" s="47">
        <f t="shared" si="127"/>
        <v>0</v>
      </c>
      <c r="CH17" s="47">
        <f t="shared" si="127"/>
        <v>0</v>
      </c>
      <c r="CI17" s="47">
        <f t="shared" si="127"/>
        <v>0</v>
      </c>
      <c r="CJ17" s="47">
        <f t="shared" si="127"/>
        <v>0</v>
      </c>
      <c r="CK17" s="47">
        <f t="shared" si="127"/>
        <v>0</v>
      </c>
      <c r="CL17" s="65"/>
      <c r="CM17" s="72"/>
      <c r="CN17" s="72"/>
      <c r="CO17" s="72"/>
      <c r="CP17" s="72"/>
      <c r="CQ17" s="72"/>
      <c r="CR17" s="72"/>
      <c r="CS17" s="72"/>
      <c r="CT17" s="72"/>
      <c r="CU17" s="72"/>
      <c r="CV17" s="72"/>
      <c r="CW17" s="72"/>
      <c r="CX17" s="72"/>
      <c r="CY17" s="72"/>
      <c r="CZ17" s="11"/>
      <c r="DA17" s="47">
        <f t="shared" ref="DA17:DM17" si="128">-(DA269)</f>
        <v>0</v>
      </c>
      <c r="DB17" s="47">
        <f t="shared" si="128"/>
        <v>0</v>
      </c>
      <c r="DC17" s="47">
        <f t="shared" si="128"/>
        <v>0</v>
      </c>
      <c r="DD17" s="47">
        <f t="shared" si="128"/>
        <v>0</v>
      </c>
      <c r="DE17" s="47">
        <f t="shared" si="128"/>
        <v>0</v>
      </c>
      <c r="DF17" s="47">
        <f t="shared" si="128"/>
        <v>0</v>
      </c>
      <c r="DG17" s="47">
        <f t="shared" si="128"/>
        <v>0</v>
      </c>
      <c r="DH17" s="47">
        <f t="shared" si="128"/>
        <v>0</v>
      </c>
      <c r="DI17" s="47">
        <f t="shared" si="128"/>
        <v>0</v>
      </c>
      <c r="DJ17" s="47">
        <f t="shared" si="128"/>
        <v>0</v>
      </c>
      <c r="DK17" s="47">
        <f t="shared" si="128"/>
        <v>0</v>
      </c>
      <c r="DL17" s="47">
        <f t="shared" si="128"/>
        <v>0</v>
      </c>
      <c r="DM17" s="47">
        <f t="shared" si="128"/>
        <v>0</v>
      </c>
      <c r="DN17" s="65"/>
      <c r="DO17" s="1"/>
      <c r="DP17" s="1"/>
      <c r="DQ17" s="58"/>
    </row>
    <row r="18" outlineLevel="1">
      <c r="A18" s="15"/>
      <c r="B18" s="64" t="s">
        <v>37</v>
      </c>
      <c r="C18" s="51"/>
      <c r="D18" s="74">
        <f t="shared" ref="D18:G18" si="129">SUM(D15:D17)</f>
        <v>0</v>
      </c>
      <c r="E18" s="74">
        <f t="shared" si="129"/>
        <v>0</v>
      </c>
      <c r="F18" s="74">
        <f t="shared" si="129"/>
        <v>158569.3235</v>
      </c>
      <c r="G18" s="74">
        <f t="shared" si="129"/>
        <v>0</v>
      </c>
      <c r="H18" s="48"/>
      <c r="I18" s="75">
        <f>D18-E18</f>
        <v>0</v>
      </c>
      <c r="J18" s="67">
        <f>IFERROR(I18/E18,0)</f>
        <v>0</v>
      </c>
      <c r="K18" s="75">
        <f>D18-F18</f>
        <v>-158569.3235</v>
      </c>
      <c r="L18" s="67">
        <f>IFERROR(K18/F18,0)</f>
        <v>-1</v>
      </c>
      <c r="M18" s="75">
        <f>D18-G18</f>
        <v>0</v>
      </c>
      <c r="N18" s="67">
        <f t="shared" si="117"/>
        <v>0</v>
      </c>
      <c r="O18" s="48"/>
      <c r="P18" s="74">
        <f t="shared" ref="P18:R18" si="130">SUM(P15:P17)</f>
        <v>0</v>
      </c>
      <c r="Q18" s="74">
        <f t="shared" si="130"/>
        <v>595098.903</v>
      </c>
      <c r="R18" s="74">
        <f t="shared" si="130"/>
        <v>0</v>
      </c>
      <c r="S18" s="48"/>
      <c r="T18" s="75">
        <f>P18-Q18</f>
        <v>-595098.903</v>
      </c>
      <c r="U18" s="67">
        <f t="shared" si="82"/>
        <v>-1</v>
      </c>
      <c r="V18" s="75">
        <f>P18-R18</f>
        <v>0</v>
      </c>
      <c r="W18" s="67">
        <f t="shared" si="84"/>
        <v>0</v>
      </c>
      <c r="X18" s="48"/>
      <c r="Y18" s="74">
        <f t="shared" ref="Y18:AB18" si="131">SUM(Y15:Y17)</f>
        <v>575180.2663</v>
      </c>
      <c r="Z18" s="74">
        <f t="shared" si="131"/>
        <v>1725314.147</v>
      </c>
      <c r="AA18" s="74">
        <f t="shared" si="131"/>
        <v>2320413.051</v>
      </c>
      <c r="AB18" s="74">
        <f t="shared" si="131"/>
        <v>0</v>
      </c>
      <c r="AC18" s="48"/>
      <c r="AD18" s="75">
        <f>Y18-AA18</f>
        <v>-1745232.784</v>
      </c>
      <c r="AE18" s="67">
        <f t="shared" si="87"/>
        <v>-0.7521216035</v>
      </c>
      <c r="AF18" s="75">
        <f>Y18-AB18</f>
        <v>575180.2663</v>
      </c>
      <c r="AG18" s="67">
        <f t="shared" si="89"/>
        <v>0</v>
      </c>
      <c r="AH18" s="51"/>
      <c r="AI18" s="65">
        <f t="shared" ref="AI18:AU18" si="132">SUM(AI15:AI17)</f>
        <v>0</v>
      </c>
      <c r="AJ18" s="65">
        <f t="shared" si="132"/>
        <v>0</v>
      </c>
      <c r="AK18" s="65">
        <f t="shared" si="132"/>
        <v>0</v>
      </c>
      <c r="AL18" s="65">
        <f t="shared" si="132"/>
        <v>0</v>
      </c>
      <c r="AM18" s="65">
        <f t="shared" si="132"/>
        <v>0</v>
      </c>
      <c r="AN18" s="65">
        <f t="shared" si="132"/>
        <v>0</v>
      </c>
      <c r="AO18" s="65">
        <f t="shared" si="132"/>
        <v>0</v>
      </c>
      <c r="AP18" s="65">
        <f t="shared" si="132"/>
        <v>0</v>
      </c>
      <c r="AQ18" s="65">
        <f t="shared" si="132"/>
        <v>0</v>
      </c>
      <c r="AR18" s="65">
        <f t="shared" si="132"/>
        <v>346348.5799</v>
      </c>
      <c r="AS18" s="65">
        <f t="shared" si="132"/>
        <v>106226.726</v>
      </c>
      <c r="AT18" s="65">
        <f t="shared" si="132"/>
        <v>122604.9604</v>
      </c>
      <c r="AU18" s="65">
        <f t="shared" si="132"/>
        <v>575180.2663</v>
      </c>
      <c r="AV18" s="55"/>
      <c r="AW18" s="65">
        <f t="shared" ref="AW18:BI18" si="133">SUM(AW15:AW17)</f>
        <v>0</v>
      </c>
      <c r="AX18" s="65">
        <f t="shared" si="133"/>
        <v>0</v>
      </c>
      <c r="AY18" s="65">
        <f t="shared" si="133"/>
        <v>0</v>
      </c>
      <c r="AZ18" s="65">
        <f t="shared" si="133"/>
        <v>0</v>
      </c>
      <c r="BA18" s="65">
        <f t="shared" si="133"/>
        <v>0</v>
      </c>
      <c r="BB18" s="65">
        <f t="shared" si="133"/>
        <v>0</v>
      </c>
      <c r="BC18" s="65">
        <f t="shared" si="133"/>
        <v>406870.4236</v>
      </c>
      <c r="BD18" s="65">
        <f t="shared" si="133"/>
        <v>400164.5206</v>
      </c>
      <c r="BE18" s="65">
        <f t="shared" si="133"/>
        <v>343098.9368</v>
      </c>
      <c r="BF18" s="65">
        <f t="shared" si="133"/>
        <v>346348.5799</v>
      </c>
      <c r="BG18" s="65">
        <f t="shared" si="133"/>
        <v>106226.726</v>
      </c>
      <c r="BH18" s="65">
        <f t="shared" si="133"/>
        <v>122604.9604</v>
      </c>
      <c r="BI18" s="65">
        <f t="shared" si="133"/>
        <v>1725314.147</v>
      </c>
      <c r="BJ18" s="56"/>
      <c r="BK18" s="65">
        <f t="shared" ref="BK18:BW18" si="134">SUM(BK15:BK17)</f>
        <v>163386.5513</v>
      </c>
      <c r="BL18" s="65">
        <f t="shared" si="134"/>
        <v>153068.8913</v>
      </c>
      <c r="BM18" s="65">
        <f t="shared" si="134"/>
        <v>63157.121</v>
      </c>
      <c r="BN18" s="65">
        <f t="shared" si="134"/>
        <v>15985.473</v>
      </c>
      <c r="BO18" s="65">
        <f t="shared" si="134"/>
        <v>40931.543</v>
      </c>
      <c r="BP18" s="65">
        <f t="shared" si="134"/>
        <v>158569.3238</v>
      </c>
      <c r="BQ18" s="65">
        <f t="shared" si="134"/>
        <v>406870.4236</v>
      </c>
      <c r="BR18" s="65">
        <f t="shared" si="134"/>
        <v>400164.5206</v>
      </c>
      <c r="BS18" s="65">
        <f t="shared" si="134"/>
        <v>343098.9368</v>
      </c>
      <c r="BT18" s="65">
        <f t="shared" si="134"/>
        <v>346348.5798</v>
      </c>
      <c r="BU18" s="65">
        <f t="shared" si="134"/>
        <v>106226.726</v>
      </c>
      <c r="BV18" s="65">
        <f t="shared" si="134"/>
        <v>122604.9605</v>
      </c>
      <c r="BW18" s="65">
        <f t="shared" si="134"/>
        <v>2320413.051</v>
      </c>
      <c r="BX18" s="1"/>
      <c r="BY18" s="65" t="str">
        <f t="shared" ref="BY18:CK18" si="135">SUM(BY15:BY17)</f>
        <v>#REF!</v>
      </c>
      <c r="BZ18" s="65">
        <f t="shared" si="135"/>
        <v>0</v>
      </c>
      <c r="CA18" s="65">
        <f t="shared" si="135"/>
        <v>0</v>
      </c>
      <c r="CB18" s="65">
        <f t="shared" si="135"/>
        <v>0</v>
      </c>
      <c r="CC18" s="65">
        <f t="shared" si="135"/>
        <v>0</v>
      </c>
      <c r="CD18" s="65">
        <f t="shared" si="135"/>
        <v>0</v>
      </c>
      <c r="CE18" s="65">
        <f t="shared" si="135"/>
        <v>0</v>
      </c>
      <c r="CF18" s="65">
        <f t="shared" si="135"/>
        <v>0</v>
      </c>
      <c r="CG18" s="65">
        <f t="shared" si="135"/>
        <v>0</v>
      </c>
      <c r="CH18" s="65">
        <f t="shared" si="135"/>
        <v>0</v>
      </c>
      <c r="CI18" s="65">
        <f t="shared" si="135"/>
        <v>0</v>
      </c>
      <c r="CJ18" s="65">
        <f t="shared" si="135"/>
        <v>0</v>
      </c>
      <c r="CK18" s="65">
        <f t="shared" si="135"/>
        <v>0</v>
      </c>
      <c r="CL18" s="65"/>
      <c r="CM18" s="65"/>
      <c r="CN18" s="65"/>
      <c r="CO18" s="65"/>
      <c r="CP18" s="65"/>
      <c r="CQ18" s="65"/>
      <c r="CR18" s="65"/>
      <c r="CS18" s="65"/>
      <c r="CT18" s="65"/>
      <c r="CU18" s="65"/>
      <c r="CV18" s="65"/>
      <c r="CW18" s="65"/>
      <c r="CX18" s="65"/>
      <c r="CY18" s="65"/>
      <c r="CZ18" s="11"/>
      <c r="DA18" s="65">
        <f t="shared" ref="DA18:DM18" si="136">SUM(DA15:DA17)</f>
        <v>163386.5513</v>
      </c>
      <c r="DB18" s="65">
        <f t="shared" si="136"/>
        <v>0</v>
      </c>
      <c r="DC18" s="65">
        <f t="shared" si="136"/>
        <v>0</v>
      </c>
      <c r="DD18" s="65">
        <f t="shared" si="136"/>
        <v>0</v>
      </c>
      <c r="DE18" s="65">
        <f t="shared" si="136"/>
        <v>0</v>
      </c>
      <c r="DF18" s="65">
        <f t="shared" si="136"/>
        <v>0</v>
      </c>
      <c r="DG18" s="65">
        <f t="shared" si="136"/>
        <v>0</v>
      </c>
      <c r="DH18" s="65">
        <f t="shared" si="136"/>
        <v>0</v>
      </c>
      <c r="DI18" s="65">
        <f t="shared" si="136"/>
        <v>0</v>
      </c>
      <c r="DJ18" s="65">
        <f t="shared" si="136"/>
        <v>0</v>
      </c>
      <c r="DK18" s="65">
        <f t="shared" si="136"/>
        <v>0</v>
      </c>
      <c r="DL18" s="65">
        <f t="shared" si="136"/>
        <v>0</v>
      </c>
      <c r="DM18" s="65">
        <f t="shared" si="136"/>
        <v>163386.5513</v>
      </c>
      <c r="DN18" s="65"/>
      <c r="DO18" s="1"/>
      <c r="DP18" s="1"/>
      <c r="DQ18" s="58"/>
    </row>
    <row r="19" outlineLevel="2">
      <c r="A19" s="15"/>
      <c r="B19" s="69" t="s">
        <v>38</v>
      </c>
      <c r="C19" s="51"/>
      <c r="D19" s="70">
        <f t="shared" ref="D19:G19" si="137">-(D273)</f>
        <v>0</v>
      </c>
      <c r="E19" s="70">
        <f t="shared" si="137"/>
        <v>0</v>
      </c>
      <c r="F19" s="70">
        <f t="shared" si="137"/>
        <v>-20928</v>
      </c>
      <c r="G19" s="70">
        <f t="shared" si="137"/>
        <v>0</v>
      </c>
      <c r="H19" s="48"/>
      <c r="I19" s="66">
        <f t="shared" ref="I19:I22" si="146">(-E19)-(-D19)</f>
        <v>0</v>
      </c>
      <c r="J19" s="67">
        <f t="shared" ref="J19:J23" si="147">IFERROR(I19/ABS(E19),0)</f>
        <v>0</v>
      </c>
      <c r="K19" s="66">
        <f t="shared" ref="K19:K22" si="148">(-F19)-(-D19)</f>
        <v>20928</v>
      </c>
      <c r="L19" s="67">
        <f t="shared" ref="L19:L23" si="149">IFERROR(K19/ABS(F19),0)</f>
        <v>1</v>
      </c>
      <c r="M19" s="66">
        <f t="shared" ref="M19:M22" si="150">(-G19)-(-D19)</f>
        <v>0</v>
      </c>
      <c r="N19" s="67">
        <f t="shared" si="117"/>
        <v>0</v>
      </c>
      <c r="O19" s="48"/>
      <c r="P19" s="70">
        <f t="shared" ref="P19:R19" si="138">-(P273)</f>
        <v>0</v>
      </c>
      <c r="Q19" s="70">
        <f t="shared" si="138"/>
        <v>-125568</v>
      </c>
      <c r="R19" s="70">
        <f t="shared" si="138"/>
        <v>0</v>
      </c>
      <c r="S19" s="48"/>
      <c r="T19" s="66">
        <f t="shared" ref="T19:T22" si="152">(-Q19)-(-P19)</f>
        <v>125568</v>
      </c>
      <c r="U19" s="67">
        <f t="shared" si="82"/>
        <v>1</v>
      </c>
      <c r="V19" s="66">
        <f t="shared" ref="V19:V22" si="153">(-R19)-(-P19)</f>
        <v>0</v>
      </c>
      <c r="W19" s="67">
        <f t="shared" si="84"/>
        <v>0</v>
      </c>
      <c r="X19" s="48"/>
      <c r="Y19" s="70">
        <f t="shared" ref="Y19:AB19" si="139">-(Y273)</f>
        <v>-71910</v>
      </c>
      <c r="Z19" s="70">
        <f t="shared" si="139"/>
        <v>-137736</v>
      </c>
      <c r="AA19" s="70">
        <f t="shared" si="139"/>
        <v>-263304</v>
      </c>
      <c r="AB19" s="70">
        <f t="shared" si="139"/>
        <v>0</v>
      </c>
      <c r="AC19" s="48"/>
      <c r="AD19" s="66">
        <f t="shared" ref="AD19:AD22" si="155">(-AA19)-(-Y19)</f>
        <v>191394</v>
      </c>
      <c r="AE19" s="67">
        <f t="shared" si="87"/>
        <v>0.7268936287</v>
      </c>
      <c r="AF19" s="66">
        <f t="shared" ref="AF19:AF22" si="156">(-AB19)-(-Y19)</f>
        <v>-71910</v>
      </c>
      <c r="AG19" s="67">
        <f t="shared" si="89"/>
        <v>0</v>
      </c>
      <c r="AH19" s="51"/>
      <c r="AI19" s="47">
        <f t="shared" ref="AI19:AU19" si="140">-(AI273)</f>
        <v>0</v>
      </c>
      <c r="AJ19" s="47">
        <f t="shared" si="140"/>
        <v>0</v>
      </c>
      <c r="AK19" s="47">
        <f t="shared" si="140"/>
        <v>0</v>
      </c>
      <c r="AL19" s="47">
        <f t="shared" si="140"/>
        <v>0</v>
      </c>
      <c r="AM19" s="47">
        <f t="shared" si="140"/>
        <v>0</v>
      </c>
      <c r="AN19" s="47">
        <f t="shared" si="140"/>
        <v>0</v>
      </c>
      <c r="AO19" s="47">
        <f t="shared" si="140"/>
        <v>0</v>
      </c>
      <c r="AP19" s="47">
        <f t="shared" si="140"/>
        <v>0</v>
      </c>
      <c r="AQ19" s="47">
        <f t="shared" si="140"/>
        <v>0</v>
      </c>
      <c r="AR19" s="47">
        <f t="shared" si="140"/>
        <v>-23970</v>
      </c>
      <c r="AS19" s="47">
        <f t="shared" si="140"/>
        <v>-23970</v>
      </c>
      <c r="AT19" s="47">
        <f t="shared" si="140"/>
        <v>-23970</v>
      </c>
      <c r="AU19" s="47">
        <f t="shared" si="140"/>
        <v>-71910</v>
      </c>
      <c r="AV19" s="55"/>
      <c r="AW19" s="47">
        <f t="shared" ref="AW19:BI19" si="141">-(AW273)</f>
        <v>0</v>
      </c>
      <c r="AX19" s="47">
        <f t="shared" si="141"/>
        <v>0</v>
      </c>
      <c r="AY19" s="47">
        <f t="shared" si="141"/>
        <v>0</v>
      </c>
      <c r="AZ19" s="47">
        <f t="shared" si="141"/>
        <v>0</v>
      </c>
      <c r="BA19" s="47">
        <f t="shared" si="141"/>
        <v>0</v>
      </c>
      <c r="BB19" s="47">
        <f t="shared" si="141"/>
        <v>0</v>
      </c>
      <c r="BC19" s="47">
        <f t="shared" si="141"/>
        <v>-20928</v>
      </c>
      <c r="BD19" s="47">
        <f t="shared" si="141"/>
        <v>-20928</v>
      </c>
      <c r="BE19" s="47">
        <f t="shared" si="141"/>
        <v>-23970</v>
      </c>
      <c r="BF19" s="47">
        <f t="shared" si="141"/>
        <v>-23970</v>
      </c>
      <c r="BG19" s="47">
        <f t="shared" si="141"/>
        <v>-23970</v>
      </c>
      <c r="BH19" s="47">
        <f t="shared" si="141"/>
        <v>-23970</v>
      </c>
      <c r="BI19" s="47">
        <f t="shared" si="141"/>
        <v>-137736</v>
      </c>
      <c r="BJ19" s="56"/>
      <c r="BK19" s="47">
        <f t="shared" ref="BK19:BW19" si="142">-(BK273)</f>
        <v>-20928</v>
      </c>
      <c r="BL19" s="47">
        <f t="shared" si="142"/>
        <v>-20928</v>
      </c>
      <c r="BM19" s="47">
        <f t="shared" si="142"/>
        <v>-20928</v>
      </c>
      <c r="BN19" s="47">
        <f t="shared" si="142"/>
        <v>-20928</v>
      </c>
      <c r="BO19" s="47">
        <f t="shared" si="142"/>
        <v>-20928</v>
      </c>
      <c r="BP19" s="47">
        <f t="shared" si="142"/>
        <v>-20928</v>
      </c>
      <c r="BQ19" s="47">
        <f t="shared" si="142"/>
        <v>-20928</v>
      </c>
      <c r="BR19" s="47">
        <f t="shared" si="142"/>
        <v>-20928</v>
      </c>
      <c r="BS19" s="47">
        <f t="shared" si="142"/>
        <v>-23970</v>
      </c>
      <c r="BT19" s="47">
        <f t="shared" si="142"/>
        <v>-23970</v>
      </c>
      <c r="BU19" s="47">
        <f t="shared" si="142"/>
        <v>-23970</v>
      </c>
      <c r="BV19" s="47">
        <f t="shared" si="142"/>
        <v>-23970</v>
      </c>
      <c r="BW19" s="47">
        <f t="shared" si="142"/>
        <v>-263304</v>
      </c>
      <c r="BX19" s="1"/>
      <c r="BY19" s="47">
        <f t="shared" ref="BY19:CK19" si="143">-(BY273)</f>
        <v>0</v>
      </c>
      <c r="BZ19" s="47">
        <f t="shared" si="143"/>
        <v>0</v>
      </c>
      <c r="CA19" s="47">
        <f t="shared" si="143"/>
        <v>0</v>
      </c>
      <c r="CB19" s="47">
        <f t="shared" si="143"/>
        <v>0</v>
      </c>
      <c r="CC19" s="47">
        <f t="shared" si="143"/>
        <v>0</v>
      </c>
      <c r="CD19" s="47">
        <f t="shared" si="143"/>
        <v>0</v>
      </c>
      <c r="CE19" s="47">
        <f t="shared" si="143"/>
        <v>0</v>
      </c>
      <c r="CF19" s="47">
        <f t="shared" si="143"/>
        <v>0</v>
      </c>
      <c r="CG19" s="47">
        <f t="shared" si="143"/>
        <v>0</v>
      </c>
      <c r="CH19" s="47">
        <f t="shared" si="143"/>
        <v>0</v>
      </c>
      <c r="CI19" s="47">
        <f t="shared" si="143"/>
        <v>0</v>
      </c>
      <c r="CJ19" s="47">
        <f t="shared" si="143"/>
        <v>0</v>
      </c>
      <c r="CK19" s="47">
        <f t="shared" si="143"/>
        <v>0</v>
      </c>
      <c r="CL19" s="65"/>
      <c r="CM19" s="47"/>
      <c r="CN19" s="47"/>
      <c r="CO19" s="47"/>
      <c r="CP19" s="47"/>
      <c r="CQ19" s="47"/>
      <c r="CR19" s="47"/>
      <c r="CS19" s="47"/>
      <c r="CT19" s="47"/>
      <c r="CU19" s="47"/>
      <c r="CV19" s="47"/>
      <c r="CW19" s="47"/>
      <c r="CX19" s="47"/>
      <c r="CY19" s="47"/>
      <c r="CZ19" s="11"/>
      <c r="DA19" s="47">
        <f t="shared" ref="DA19:DM19" si="144">-(DA273)</f>
        <v>-20928</v>
      </c>
      <c r="DB19" s="47">
        <f t="shared" si="144"/>
        <v>0</v>
      </c>
      <c r="DC19" s="47">
        <f t="shared" si="144"/>
        <v>0</v>
      </c>
      <c r="DD19" s="47">
        <f t="shared" si="144"/>
        <v>0</v>
      </c>
      <c r="DE19" s="47">
        <f t="shared" si="144"/>
        <v>0</v>
      </c>
      <c r="DF19" s="47">
        <f t="shared" si="144"/>
        <v>0</v>
      </c>
      <c r="DG19" s="47">
        <f t="shared" si="144"/>
        <v>0</v>
      </c>
      <c r="DH19" s="47">
        <f t="shared" si="144"/>
        <v>0</v>
      </c>
      <c r="DI19" s="47">
        <f t="shared" si="144"/>
        <v>0</v>
      </c>
      <c r="DJ19" s="47">
        <f t="shared" si="144"/>
        <v>0</v>
      </c>
      <c r="DK19" s="47">
        <f t="shared" si="144"/>
        <v>0</v>
      </c>
      <c r="DL19" s="47">
        <f t="shared" si="144"/>
        <v>0</v>
      </c>
      <c r="DM19" s="47">
        <f t="shared" si="144"/>
        <v>-20928</v>
      </c>
      <c r="DN19" s="65"/>
      <c r="DO19" s="1"/>
      <c r="DP19" s="1"/>
      <c r="DQ19" s="58"/>
    </row>
    <row r="20" outlineLevel="2">
      <c r="A20" s="15"/>
      <c r="B20" s="69" t="s">
        <v>39</v>
      </c>
      <c r="C20" s="51"/>
      <c r="D20" s="70">
        <f t="shared" ref="D20:G20" si="145">-(D279)</f>
        <v>0</v>
      </c>
      <c r="E20" s="70">
        <f t="shared" si="145"/>
        <v>0</v>
      </c>
      <c r="F20" s="70">
        <f t="shared" si="145"/>
        <v>0</v>
      </c>
      <c r="G20" s="70">
        <f t="shared" si="145"/>
        <v>0</v>
      </c>
      <c r="H20" s="48"/>
      <c r="I20" s="66">
        <f t="shared" si="146"/>
        <v>0</v>
      </c>
      <c r="J20" s="67">
        <f t="shared" si="147"/>
        <v>0</v>
      </c>
      <c r="K20" s="66">
        <f t="shared" si="148"/>
        <v>0</v>
      </c>
      <c r="L20" s="67">
        <f t="shared" si="149"/>
        <v>0</v>
      </c>
      <c r="M20" s="66">
        <f t="shared" si="150"/>
        <v>0</v>
      </c>
      <c r="N20" s="67">
        <f t="shared" si="117"/>
        <v>0</v>
      </c>
      <c r="O20" s="48"/>
      <c r="P20" s="70">
        <f t="shared" ref="P20:R20" si="151">-(P279)</f>
        <v>0</v>
      </c>
      <c r="Q20" s="70">
        <f t="shared" si="151"/>
        <v>0</v>
      </c>
      <c r="R20" s="70">
        <f t="shared" si="151"/>
        <v>0</v>
      </c>
      <c r="S20" s="48"/>
      <c r="T20" s="66">
        <f t="shared" si="152"/>
        <v>0</v>
      </c>
      <c r="U20" s="67">
        <f t="shared" si="82"/>
        <v>0</v>
      </c>
      <c r="V20" s="66">
        <f t="shared" si="153"/>
        <v>0</v>
      </c>
      <c r="W20" s="67">
        <f t="shared" si="84"/>
        <v>0</v>
      </c>
      <c r="X20" s="48"/>
      <c r="Y20" s="70">
        <f t="shared" ref="Y20:AB20" si="154">-(Y279)</f>
        <v>0</v>
      </c>
      <c r="Z20" s="70">
        <f t="shared" si="154"/>
        <v>0</v>
      </c>
      <c r="AA20" s="70">
        <f t="shared" si="154"/>
        <v>0</v>
      </c>
      <c r="AB20" s="70">
        <f t="shared" si="154"/>
        <v>0</v>
      </c>
      <c r="AC20" s="48"/>
      <c r="AD20" s="66">
        <f t="shared" si="155"/>
        <v>0</v>
      </c>
      <c r="AE20" s="67">
        <f t="shared" si="87"/>
        <v>0</v>
      </c>
      <c r="AF20" s="66">
        <f t="shared" si="156"/>
        <v>0</v>
      </c>
      <c r="AG20" s="67">
        <f t="shared" si="89"/>
        <v>0</v>
      </c>
      <c r="AH20" s="51"/>
      <c r="AI20" s="47">
        <f t="shared" ref="AI20:AU20" si="157">-(AI279)</f>
        <v>0</v>
      </c>
      <c r="AJ20" s="47">
        <f t="shared" si="157"/>
        <v>0</v>
      </c>
      <c r="AK20" s="47">
        <f t="shared" si="157"/>
        <v>0</v>
      </c>
      <c r="AL20" s="47">
        <f t="shared" si="157"/>
        <v>0</v>
      </c>
      <c r="AM20" s="47">
        <f t="shared" si="157"/>
        <v>0</v>
      </c>
      <c r="AN20" s="47">
        <f t="shared" si="157"/>
        <v>0</v>
      </c>
      <c r="AO20" s="47">
        <f t="shared" si="157"/>
        <v>0</v>
      </c>
      <c r="AP20" s="47">
        <f t="shared" si="157"/>
        <v>0</v>
      </c>
      <c r="AQ20" s="47">
        <f t="shared" si="157"/>
        <v>0</v>
      </c>
      <c r="AR20" s="47">
        <f t="shared" si="157"/>
        <v>0</v>
      </c>
      <c r="AS20" s="47">
        <f t="shared" si="157"/>
        <v>0</v>
      </c>
      <c r="AT20" s="47">
        <f t="shared" si="157"/>
        <v>0</v>
      </c>
      <c r="AU20" s="47">
        <f t="shared" si="157"/>
        <v>0</v>
      </c>
      <c r="AV20" s="55"/>
      <c r="AW20" s="47">
        <f t="shared" ref="AW20:BI20" si="158">-(AW279)</f>
        <v>0</v>
      </c>
      <c r="AX20" s="47">
        <f t="shared" si="158"/>
        <v>0</v>
      </c>
      <c r="AY20" s="47">
        <f t="shared" si="158"/>
        <v>0</v>
      </c>
      <c r="AZ20" s="47">
        <f t="shared" si="158"/>
        <v>0</v>
      </c>
      <c r="BA20" s="47">
        <f t="shared" si="158"/>
        <v>0</v>
      </c>
      <c r="BB20" s="47">
        <f t="shared" si="158"/>
        <v>0</v>
      </c>
      <c r="BC20" s="47">
        <f t="shared" si="158"/>
        <v>0</v>
      </c>
      <c r="BD20" s="47">
        <f t="shared" si="158"/>
        <v>0</v>
      </c>
      <c r="BE20" s="47">
        <f t="shared" si="158"/>
        <v>0</v>
      </c>
      <c r="BF20" s="47">
        <f t="shared" si="158"/>
        <v>0</v>
      </c>
      <c r="BG20" s="47">
        <f t="shared" si="158"/>
        <v>0</v>
      </c>
      <c r="BH20" s="47">
        <f t="shared" si="158"/>
        <v>0</v>
      </c>
      <c r="BI20" s="47">
        <f t="shared" si="158"/>
        <v>0</v>
      </c>
      <c r="BJ20" s="56"/>
      <c r="BK20" s="47">
        <f t="shared" ref="BK20:BW20" si="159">-(BK279)</f>
        <v>0</v>
      </c>
      <c r="BL20" s="47">
        <f t="shared" si="159"/>
        <v>0</v>
      </c>
      <c r="BM20" s="47">
        <f t="shared" si="159"/>
        <v>0</v>
      </c>
      <c r="BN20" s="47">
        <f t="shared" si="159"/>
        <v>0</v>
      </c>
      <c r="BO20" s="47">
        <f t="shared" si="159"/>
        <v>0</v>
      </c>
      <c r="BP20" s="47">
        <f t="shared" si="159"/>
        <v>0</v>
      </c>
      <c r="BQ20" s="47">
        <f t="shared" si="159"/>
        <v>0</v>
      </c>
      <c r="BR20" s="47">
        <f t="shared" si="159"/>
        <v>0</v>
      </c>
      <c r="BS20" s="47">
        <f t="shared" si="159"/>
        <v>0</v>
      </c>
      <c r="BT20" s="47">
        <f t="shared" si="159"/>
        <v>0</v>
      </c>
      <c r="BU20" s="47">
        <f t="shared" si="159"/>
        <v>0</v>
      </c>
      <c r="BV20" s="47">
        <f t="shared" si="159"/>
        <v>0</v>
      </c>
      <c r="BW20" s="47">
        <f t="shared" si="159"/>
        <v>0</v>
      </c>
      <c r="BX20" s="1"/>
      <c r="BY20" s="47">
        <f t="shared" ref="BY20:CK20" si="160">-(BY279)</f>
        <v>0</v>
      </c>
      <c r="BZ20" s="47">
        <f t="shared" si="160"/>
        <v>0</v>
      </c>
      <c r="CA20" s="47">
        <f t="shared" si="160"/>
        <v>0</v>
      </c>
      <c r="CB20" s="47">
        <f t="shared" si="160"/>
        <v>0</v>
      </c>
      <c r="CC20" s="47">
        <f t="shared" si="160"/>
        <v>0</v>
      </c>
      <c r="CD20" s="47">
        <f t="shared" si="160"/>
        <v>0</v>
      </c>
      <c r="CE20" s="47">
        <f t="shared" si="160"/>
        <v>0</v>
      </c>
      <c r="CF20" s="47">
        <f t="shared" si="160"/>
        <v>0</v>
      </c>
      <c r="CG20" s="47">
        <f t="shared" si="160"/>
        <v>0</v>
      </c>
      <c r="CH20" s="47">
        <f t="shared" si="160"/>
        <v>0</v>
      </c>
      <c r="CI20" s="47">
        <f t="shared" si="160"/>
        <v>0</v>
      </c>
      <c r="CJ20" s="47">
        <f t="shared" si="160"/>
        <v>0</v>
      </c>
      <c r="CK20" s="47">
        <f t="shared" si="160"/>
        <v>0</v>
      </c>
      <c r="CL20" s="65"/>
      <c r="CM20" s="47"/>
      <c r="CN20" s="47"/>
      <c r="CO20" s="47"/>
      <c r="CP20" s="47"/>
      <c r="CQ20" s="47"/>
      <c r="CR20" s="47"/>
      <c r="CS20" s="47"/>
      <c r="CT20" s="47"/>
      <c r="CU20" s="47"/>
      <c r="CV20" s="47"/>
      <c r="CW20" s="47"/>
      <c r="CX20" s="47"/>
      <c r="CY20" s="47"/>
      <c r="CZ20" s="11"/>
      <c r="DA20" s="47">
        <f t="shared" ref="DA20:DM20" si="161">-(DA279)</f>
        <v>0</v>
      </c>
      <c r="DB20" s="47">
        <f t="shared" si="161"/>
        <v>0</v>
      </c>
      <c r="DC20" s="47">
        <f t="shared" si="161"/>
        <v>0</v>
      </c>
      <c r="DD20" s="47">
        <f t="shared" si="161"/>
        <v>0</v>
      </c>
      <c r="DE20" s="47">
        <f t="shared" si="161"/>
        <v>0</v>
      </c>
      <c r="DF20" s="47">
        <f t="shared" si="161"/>
        <v>0</v>
      </c>
      <c r="DG20" s="47">
        <f t="shared" si="161"/>
        <v>0</v>
      </c>
      <c r="DH20" s="47">
        <f t="shared" si="161"/>
        <v>0</v>
      </c>
      <c r="DI20" s="47">
        <f t="shared" si="161"/>
        <v>0</v>
      </c>
      <c r="DJ20" s="47">
        <f t="shared" si="161"/>
        <v>0</v>
      </c>
      <c r="DK20" s="47">
        <f t="shared" si="161"/>
        <v>0</v>
      </c>
      <c r="DL20" s="47">
        <f t="shared" si="161"/>
        <v>0</v>
      </c>
      <c r="DM20" s="47">
        <f t="shared" si="161"/>
        <v>0</v>
      </c>
      <c r="DN20" s="65"/>
      <c r="DO20" s="1"/>
      <c r="DP20" s="1"/>
      <c r="DQ20" s="58"/>
    </row>
    <row r="21" outlineLevel="2">
      <c r="A21" s="15"/>
      <c r="B21" s="69" t="s">
        <v>40</v>
      </c>
      <c r="C21" s="51"/>
      <c r="D21" s="70">
        <f t="shared" ref="D21:G21" si="162">-(SUM(D275:D278))</f>
        <v>0</v>
      </c>
      <c r="E21" s="70">
        <f t="shared" si="162"/>
        <v>0</v>
      </c>
      <c r="F21" s="70">
        <f t="shared" si="162"/>
        <v>-14816.12</v>
      </c>
      <c r="G21" s="70">
        <f t="shared" si="162"/>
        <v>0</v>
      </c>
      <c r="H21" s="48"/>
      <c r="I21" s="76">
        <f t="shared" si="146"/>
        <v>0</v>
      </c>
      <c r="J21" s="67">
        <f t="shared" si="147"/>
        <v>0</v>
      </c>
      <c r="K21" s="76">
        <f t="shared" si="148"/>
        <v>14816.12</v>
      </c>
      <c r="L21" s="67">
        <f t="shared" si="149"/>
        <v>1</v>
      </c>
      <c r="M21" s="76">
        <f t="shared" si="150"/>
        <v>0</v>
      </c>
      <c r="N21" s="67">
        <f t="shared" si="117"/>
        <v>0</v>
      </c>
      <c r="O21" s="48"/>
      <c r="P21" s="70">
        <f t="shared" ref="P21:R21" si="163">-(SUM(P275:P278))</f>
        <v>0</v>
      </c>
      <c r="Q21" s="70">
        <f t="shared" si="163"/>
        <v>-92913.72</v>
      </c>
      <c r="R21" s="70">
        <f t="shared" si="163"/>
        <v>0</v>
      </c>
      <c r="S21" s="48"/>
      <c r="T21" s="76">
        <f t="shared" si="152"/>
        <v>92913.72</v>
      </c>
      <c r="U21" s="67">
        <f t="shared" si="82"/>
        <v>1</v>
      </c>
      <c r="V21" s="76">
        <f t="shared" si="153"/>
        <v>0</v>
      </c>
      <c r="W21" s="67">
        <f t="shared" si="84"/>
        <v>0</v>
      </c>
      <c r="X21" s="48"/>
      <c r="Y21" s="70">
        <f t="shared" ref="Y21:AB21" si="164">-(SUM(Y275:Y278))</f>
        <v>-43855</v>
      </c>
      <c r="Z21" s="70">
        <f t="shared" si="164"/>
        <v>-88472.6</v>
      </c>
      <c r="AA21" s="70">
        <f t="shared" si="164"/>
        <v>-181386.32</v>
      </c>
      <c r="AB21" s="70">
        <f t="shared" si="164"/>
        <v>0</v>
      </c>
      <c r="AC21" s="48"/>
      <c r="AD21" s="76">
        <f t="shared" si="155"/>
        <v>137531.32</v>
      </c>
      <c r="AE21" s="67">
        <f t="shared" si="87"/>
        <v>0.7582232221</v>
      </c>
      <c r="AF21" s="76">
        <f t="shared" si="156"/>
        <v>-43855</v>
      </c>
      <c r="AG21" s="67">
        <f t="shared" si="89"/>
        <v>0</v>
      </c>
      <c r="AH21" s="51"/>
      <c r="AI21" s="77">
        <f t="shared" ref="AI21:AU21" si="165">-(SUM(AI275:AI278))</f>
        <v>0</v>
      </c>
      <c r="AJ21" s="77">
        <f t="shared" si="165"/>
        <v>0</v>
      </c>
      <c r="AK21" s="77">
        <f t="shared" si="165"/>
        <v>0</v>
      </c>
      <c r="AL21" s="77">
        <f t="shared" si="165"/>
        <v>0</v>
      </c>
      <c r="AM21" s="77">
        <f t="shared" si="165"/>
        <v>0</v>
      </c>
      <c r="AN21" s="77">
        <f t="shared" si="165"/>
        <v>0</v>
      </c>
      <c r="AO21" s="77">
        <f t="shared" si="165"/>
        <v>0</v>
      </c>
      <c r="AP21" s="77">
        <f t="shared" si="165"/>
        <v>0</v>
      </c>
      <c r="AQ21" s="77">
        <f t="shared" si="165"/>
        <v>0</v>
      </c>
      <c r="AR21" s="77">
        <f t="shared" si="165"/>
        <v>-14815.24</v>
      </c>
      <c r="AS21" s="77">
        <f t="shared" si="165"/>
        <v>-14326.88</v>
      </c>
      <c r="AT21" s="77">
        <f t="shared" si="165"/>
        <v>-14712.88</v>
      </c>
      <c r="AU21" s="77">
        <f t="shared" si="165"/>
        <v>-43855</v>
      </c>
      <c r="AV21" s="55"/>
      <c r="AW21" s="77">
        <f t="shared" ref="AW21:BI21" si="166">-(SUM(AW275:AW278))</f>
        <v>0</v>
      </c>
      <c r="AX21" s="77">
        <f t="shared" si="166"/>
        <v>0</v>
      </c>
      <c r="AY21" s="77">
        <f t="shared" si="166"/>
        <v>0</v>
      </c>
      <c r="AZ21" s="77">
        <f t="shared" si="166"/>
        <v>0</v>
      </c>
      <c r="BA21" s="77">
        <f t="shared" si="166"/>
        <v>0</v>
      </c>
      <c r="BB21" s="77">
        <f t="shared" si="166"/>
        <v>0</v>
      </c>
      <c r="BC21" s="77">
        <f t="shared" si="166"/>
        <v>-15207.12</v>
      </c>
      <c r="BD21" s="77">
        <f t="shared" si="166"/>
        <v>-14981.24</v>
      </c>
      <c r="BE21" s="77">
        <f t="shared" si="166"/>
        <v>-14429.24</v>
      </c>
      <c r="BF21" s="77">
        <f t="shared" si="166"/>
        <v>-14815.24</v>
      </c>
      <c r="BG21" s="77">
        <f t="shared" si="166"/>
        <v>-14326.88</v>
      </c>
      <c r="BH21" s="77">
        <f t="shared" si="166"/>
        <v>-14712.88</v>
      </c>
      <c r="BI21" s="77">
        <f t="shared" si="166"/>
        <v>-88472.6</v>
      </c>
      <c r="BJ21" s="56"/>
      <c r="BK21" s="77">
        <f t="shared" ref="BK21:BW21" si="167">-(SUM(BK275:BK278))</f>
        <v>-16561.12</v>
      </c>
      <c r="BL21" s="77">
        <f t="shared" si="167"/>
        <v>-16126.12</v>
      </c>
      <c r="BM21" s="77">
        <f t="shared" si="167"/>
        <v>-15207.12</v>
      </c>
      <c r="BN21" s="77">
        <f t="shared" si="167"/>
        <v>-14996.12</v>
      </c>
      <c r="BO21" s="77">
        <f t="shared" si="167"/>
        <v>-15207.12</v>
      </c>
      <c r="BP21" s="77">
        <f t="shared" si="167"/>
        <v>-14816.12</v>
      </c>
      <c r="BQ21" s="77">
        <f t="shared" si="167"/>
        <v>-15207.12</v>
      </c>
      <c r="BR21" s="77">
        <f t="shared" si="167"/>
        <v>-14981.24</v>
      </c>
      <c r="BS21" s="77">
        <f t="shared" si="167"/>
        <v>-14429.24</v>
      </c>
      <c r="BT21" s="77">
        <f t="shared" si="167"/>
        <v>-14815.24</v>
      </c>
      <c r="BU21" s="77">
        <f t="shared" si="167"/>
        <v>-14326.88</v>
      </c>
      <c r="BV21" s="77">
        <f t="shared" si="167"/>
        <v>-14712.88</v>
      </c>
      <c r="BW21" s="77">
        <f t="shared" si="167"/>
        <v>-181386.32</v>
      </c>
      <c r="BX21" s="1"/>
      <c r="BY21" s="77">
        <f t="shared" ref="BY21:CK21" si="168">-(SUM(BY275:BY278))</f>
        <v>0</v>
      </c>
      <c r="BZ21" s="77">
        <f t="shared" si="168"/>
        <v>0</v>
      </c>
      <c r="CA21" s="77">
        <f t="shared" si="168"/>
        <v>0</v>
      </c>
      <c r="CB21" s="77">
        <f t="shared" si="168"/>
        <v>0</v>
      </c>
      <c r="CC21" s="77">
        <f t="shared" si="168"/>
        <v>0</v>
      </c>
      <c r="CD21" s="77">
        <f t="shared" si="168"/>
        <v>0</v>
      </c>
      <c r="CE21" s="77">
        <f t="shared" si="168"/>
        <v>0</v>
      </c>
      <c r="CF21" s="77">
        <f t="shared" si="168"/>
        <v>0</v>
      </c>
      <c r="CG21" s="77">
        <f t="shared" si="168"/>
        <v>0</v>
      </c>
      <c r="CH21" s="77">
        <f t="shared" si="168"/>
        <v>0</v>
      </c>
      <c r="CI21" s="77">
        <f t="shared" si="168"/>
        <v>0</v>
      </c>
      <c r="CJ21" s="77">
        <f t="shared" si="168"/>
        <v>0</v>
      </c>
      <c r="CK21" s="77">
        <f t="shared" si="168"/>
        <v>0</v>
      </c>
      <c r="CL21" s="65"/>
      <c r="CM21" s="70"/>
      <c r="CN21" s="70"/>
      <c r="CO21" s="70"/>
      <c r="CP21" s="70"/>
      <c r="CQ21" s="70"/>
      <c r="CR21" s="70"/>
      <c r="CS21" s="70"/>
      <c r="CT21" s="70"/>
      <c r="CU21" s="70"/>
      <c r="CV21" s="70"/>
      <c r="CW21" s="70"/>
      <c r="CX21" s="70"/>
      <c r="CY21" s="70"/>
      <c r="CZ21" s="11"/>
      <c r="DA21" s="77">
        <f t="shared" ref="DA21:DM21" si="169">-(SUM(DA275:DA278))</f>
        <v>-16561.12</v>
      </c>
      <c r="DB21" s="77">
        <f t="shared" si="169"/>
        <v>0</v>
      </c>
      <c r="DC21" s="77">
        <f t="shared" si="169"/>
        <v>0</v>
      </c>
      <c r="DD21" s="77">
        <f t="shared" si="169"/>
        <v>0</v>
      </c>
      <c r="DE21" s="77">
        <f t="shared" si="169"/>
        <v>0</v>
      </c>
      <c r="DF21" s="77">
        <f t="shared" si="169"/>
        <v>0</v>
      </c>
      <c r="DG21" s="77">
        <f t="shared" si="169"/>
        <v>0</v>
      </c>
      <c r="DH21" s="77">
        <f t="shared" si="169"/>
        <v>0</v>
      </c>
      <c r="DI21" s="77">
        <f t="shared" si="169"/>
        <v>0</v>
      </c>
      <c r="DJ21" s="77">
        <f t="shared" si="169"/>
        <v>0</v>
      </c>
      <c r="DK21" s="77">
        <f t="shared" si="169"/>
        <v>0</v>
      </c>
      <c r="DL21" s="77">
        <f t="shared" si="169"/>
        <v>0</v>
      </c>
      <c r="DM21" s="77">
        <f t="shared" si="169"/>
        <v>-16561.12</v>
      </c>
      <c r="DN21" s="65"/>
      <c r="DO21" s="1"/>
      <c r="DP21" s="1"/>
      <c r="DQ21" s="58"/>
    </row>
    <row r="22" outlineLevel="2">
      <c r="A22" s="15"/>
      <c r="B22" s="69" t="s">
        <v>41</v>
      </c>
      <c r="C22" s="51"/>
      <c r="D22" s="70">
        <f t="shared" ref="D22:G22" si="170">-(SUM(D274,D280:D282))</f>
        <v>0</v>
      </c>
      <c r="E22" s="70">
        <f t="shared" si="170"/>
        <v>0</v>
      </c>
      <c r="F22" s="70">
        <f t="shared" si="170"/>
        <v>0</v>
      </c>
      <c r="G22" s="70">
        <f t="shared" si="170"/>
        <v>0</v>
      </c>
      <c r="H22" s="48"/>
      <c r="I22" s="76">
        <f t="shared" si="146"/>
        <v>0</v>
      </c>
      <c r="J22" s="67">
        <f t="shared" si="147"/>
        <v>0</v>
      </c>
      <c r="K22" s="76">
        <f t="shared" si="148"/>
        <v>0</v>
      </c>
      <c r="L22" s="67">
        <f t="shared" si="149"/>
        <v>0</v>
      </c>
      <c r="M22" s="76">
        <f t="shared" si="150"/>
        <v>0</v>
      </c>
      <c r="N22" s="67">
        <f t="shared" si="117"/>
        <v>0</v>
      </c>
      <c r="O22" s="48"/>
      <c r="P22" s="70">
        <f t="shared" ref="P22:R22" si="171">-(SUM(P274,P280:P282))</f>
        <v>0</v>
      </c>
      <c r="Q22" s="70">
        <f t="shared" si="171"/>
        <v>0</v>
      </c>
      <c r="R22" s="70">
        <f t="shared" si="171"/>
        <v>0</v>
      </c>
      <c r="S22" s="48"/>
      <c r="T22" s="76">
        <f t="shared" si="152"/>
        <v>0</v>
      </c>
      <c r="U22" s="67">
        <f t="shared" si="82"/>
        <v>0</v>
      </c>
      <c r="V22" s="76">
        <f t="shared" si="153"/>
        <v>0</v>
      </c>
      <c r="W22" s="67">
        <f t="shared" si="84"/>
        <v>0</v>
      </c>
      <c r="X22" s="48"/>
      <c r="Y22" s="70">
        <f t="shared" ref="Y22:AB22" si="172">-(SUM(Y274,Y280:Y282))</f>
        <v>0</v>
      </c>
      <c r="Z22" s="70">
        <f t="shared" si="172"/>
        <v>0</v>
      </c>
      <c r="AA22" s="70">
        <f t="shared" si="172"/>
        <v>0</v>
      </c>
      <c r="AB22" s="70">
        <f t="shared" si="172"/>
        <v>0</v>
      </c>
      <c r="AC22" s="48"/>
      <c r="AD22" s="76">
        <f t="shared" si="155"/>
        <v>0</v>
      </c>
      <c r="AE22" s="67">
        <f t="shared" si="87"/>
        <v>0</v>
      </c>
      <c r="AF22" s="76">
        <f t="shared" si="156"/>
        <v>0</v>
      </c>
      <c r="AG22" s="67">
        <f t="shared" si="89"/>
        <v>0</v>
      </c>
      <c r="AH22" s="51"/>
      <c r="AI22" s="77">
        <f t="shared" ref="AI22:AU22" si="173">-(SUM(AI274,AI280:AI282))</f>
        <v>0</v>
      </c>
      <c r="AJ22" s="77">
        <f t="shared" si="173"/>
        <v>0</v>
      </c>
      <c r="AK22" s="77">
        <f t="shared" si="173"/>
        <v>0</v>
      </c>
      <c r="AL22" s="77">
        <f t="shared" si="173"/>
        <v>0</v>
      </c>
      <c r="AM22" s="77">
        <f t="shared" si="173"/>
        <v>0</v>
      </c>
      <c r="AN22" s="77">
        <f t="shared" si="173"/>
        <v>0</v>
      </c>
      <c r="AO22" s="77">
        <f t="shared" si="173"/>
        <v>0</v>
      </c>
      <c r="AP22" s="77">
        <f t="shared" si="173"/>
        <v>0</v>
      </c>
      <c r="AQ22" s="77">
        <f t="shared" si="173"/>
        <v>0</v>
      </c>
      <c r="AR22" s="77">
        <f t="shared" si="173"/>
        <v>0</v>
      </c>
      <c r="AS22" s="77">
        <f t="shared" si="173"/>
        <v>0</v>
      </c>
      <c r="AT22" s="77">
        <f t="shared" si="173"/>
        <v>0</v>
      </c>
      <c r="AU22" s="77">
        <f t="shared" si="173"/>
        <v>0</v>
      </c>
      <c r="AV22" s="55"/>
      <c r="AW22" s="77">
        <f t="shared" ref="AW22:BI22" si="174">-(SUM(AW274,AW280:AW282))</f>
        <v>0</v>
      </c>
      <c r="AX22" s="77">
        <f t="shared" si="174"/>
        <v>0</v>
      </c>
      <c r="AY22" s="77">
        <f t="shared" si="174"/>
        <v>0</v>
      </c>
      <c r="AZ22" s="77">
        <f t="shared" si="174"/>
        <v>0</v>
      </c>
      <c r="BA22" s="77">
        <f t="shared" si="174"/>
        <v>0</v>
      </c>
      <c r="BB22" s="77">
        <f t="shared" si="174"/>
        <v>0</v>
      </c>
      <c r="BC22" s="77">
        <f t="shared" si="174"/>
        <v>0</v>
      </c>
      <c r="BD22" s="77">
        <f t="shared" si="174"/>
        <v>0</v>
      </c>
      <c r="BE22" s="77">
        <f t="shared" si="174"/>
        <v>0</v>
      </c>
      <c r="BF22" s="77">
        <f t="shared" si="174"/>
        <v>0</v>
      </c>
      <c r="BG22" s="77">
        <f t="shared" si="174"/>
        <v>0</v>
      </c>
      <c r="BH22" s="77">
        <f t="shared" si="174"/>
        <v>0</v>
      </c>
      <c r="BI22" s="77">
        <f t="shared" si="174"/>
        <v>0</v>
      </c>
      <c r="BJ22" s="56"/>
      <c r="BK22" s="77">
        <f t="shared" ref="BK22:BW22" si="175">-(SUM(BK274,BK280:BK282))</f>
        <v>0</v>
      </c>
      <c r="BL22" s="77">
        <f t="shared" si="175"/>
        <v>0</v>
      </c>
      <c r="BM22" s="77">
        <f t="shared" si="175"/>
        <v>0</v>
      </c>
      <c r="BN22" s="77">
        <f t="shared" si="175"/>
        <v>0</v>
      </c>
      <c r="BO22" s="77">
        <f t="shared" si="175"/>
        <v>0</v>
      </c>
      <c r="BP22" s="77">
        <f t="shared" si="175"/>
        <v>0</v>
      </c>
      <c r="BQ22" s="77">
        <f t="shared" si="175"/>
        <v>0</v>
      </c>
      <c r="BR22" s="77">
        <f t="shared" si="175"/>
        <v>0</v>
      </c>
      <c r="BS22" s="77">
        <f t="shared" si="175"/>
        <v>0</v>
      </c>
      <c r="BT22" s="77">
        <f t="shared" si="175"/>
        <v>0</v>
      </c>
      <c r="BU22" s="77">
        <f t="shared" si="175"/>
        <v>0</v>
      </c>
      <c r="BV22" s="77">
        <f t="shared" si="175"/>
        <v>0</v>
      </c>
      <c r="BW22" s="77">
        <f t="shared" si="175"/>
        <v>0</v>
      </c>
      <c r="BX22" s="1"/>
      <c r="BY22" s="77">
        <f t="shared" ref="BY22:CK22" si="176">-(SUM(BY274,BY280:BY282))</f>
        <v>0</v>
      </c>
      <c r="BZ22" s="77">
        <f t="shared" si="176"/>
        <v>0</v>
      </c>
      <c r="CA22" s="77">
        <f t="shared" si="176"/>
        <v>0</v>
      </c>
      <c r="CB22" s="77">
        <f t="shared" si="176"/>
        <v>0</v>
      </c>
      <c r="CC22" s="77">
        <f t="shared" si="176"/>
        <v>0</v>
      </c>
      <c r="CD22" s="77">
        <f t="shared" si="176"/>
        <v>0</v>
      </c>
      <c r="CE22" s="77">
        <f t="shared" si="176"/>
        <v>0</v>
      </c>
      <c r="CF22" s="77">
        <f t="shared" si="176"/>
        <v>0</v>
      </c>
      <c r="CG22" s="77">
        <f t="shared" si="176"/>
        <v>0</v>
      </c>
      <c r="CH22" s="77">
        <f t="shared" si="176"/>
        <v>0</v>
      </c>
      <c r="CI22" s="77">
        <f t="shared" si="176"/>
        <v>0</v>
      </c>
      <c r="CJ22" s="77">
        <f t="shared" si="176"/>
        <v>0</v>
      </c>
      <c r="CK22" s="77">
        <f t="shared" si="176"/>
        <v>0</v>
      </c>
      <c r="CL22" s="65"/>
      <c r="CM22" s="77"/>
      <c r="CN22" s="77"/>
      <c r="CO22" s="77"/>
      <c r="CP22" s="77"/>
      <c r="CQ22" s="77"/>
      <c r="CR22" s="77"/>
      <c r="CS22" s="77"/>
      <c r="CT22" s="77"/>
      <c r="CU22" s="77"/>
      <c r="CV22" s="77"/>
      <c r="CW22" s="77"/>
      <c r="CX22" s="77"/>
      <c r="CY22" s="77"/>
      <c r="CZ22" s="11"/>
      <c r="DA22" s="77">
        <f t="shared" ref="DA22:DM22" si="177">-(SUM(DA274,DA280:DA282))</f>
        <v>0</v>
      </c>
      <c r="DB22" s="77">
        <f t="shared" si="177"/>
        <v>0</v>
      </c>
      <c r="DC22" s="77">
        <f t="shared" si="177"/>
        <v>0</v>
      </c>
      <c r="DD22" s="77">
        <f t="shared" si="177"/>
        <v>0</v>
      </c>
      <c r="DE22" s="77">
        <f t="shared" si="177"/>
        <v>0</v>
      </c>
      <c r="DF22" s="77">
        <f t="shared" si="177"/>
        <v>0</v>
      </c>
      <c r="DG22" s="77">
        <f t="shared" si="177"/>
        <v>0</v>
      </c>
      <c r="DH22" s="77">
        <f t="shared" si="177"/>
        <v>0</v>
      </c>
      <c r="DI22" s="77">
        <f t="shared" si="177"/>
        <v>0</v>
      </c>
      <c r="DJ22" s="77">
        <f t="shared" si="177"/>
        <v>0</v>
      </c>
      <c r="DK22" s="77">
        <f t="shared" si="177"/>
        <v>0</v>
      </c>
      <c r="DL22" s="77">
        <f t="shared" si="177"/>
        <v>0</v>
      </c>
      <c r="DM22" s="77">
        <f t="shared" si="177"/>
        <v>0</v>
      </c>
      <c r="DN22" s="65"/>
      <c r="DO22" s="1"/>
      <c r="DP22" s="1"/>
      <c r="DQ22" s="58"/>
    </row>
    <row r="23" outlineLevel="1">
      <c r="A23" s="15"/>
      <c r="B23" s="64" t="s">
        <v>42</v>
      </c>
      <c r="C23" s="51"/>
      <c r="D23" s="74">
        <f t="shared" ref="D23:G23" si="178">SUM(D18:D22)</f>
        <v>0</v>
      </c>
      <c r="E23" s="74">
        <f t="shared" si="178"/>
        <v>0</v>
      </c>
      <c r="F23" s="74">
        <f t="shared" si="178"/>
        <v>122825.2035</v>
      </c>
      <c r="G23" s="74">
        <f t="shared" si="178"/>
        <v>0</v>
      </c>
      <c r="H23" s="48"/>
      <c r="I23" s="75">
        <f>D23-E23</f>
        <v>0</v>
      </c>
      <c r="J23" s="67">
        <f t="shared" si="147"/>
        <v>0</v>
      </c>
      <c r="K23" s="75">
        <f>D23-F23</f>
        <v>-122825.2035</v>
      </c>
      <c r="L23" s="67">
        <f t="shared" si="149"/>
        <v>-1</v>
      </c>
      <c r="M23" s="75">
        <f>D23-G23</f>
        <v>0</v>
      </c>
      <c r="N23" s="67">
        <f t="shared" si="117"/>
        <v>0</v>
      </c>
      <c r="O23" s="48"/>
      <c r="P23" s="74">
        <f t="shared" ref="P23:R23" si="179">SUM(P18:P22)</f>
        <v>0</v>
      </c>
      <c r="Q23" s="74">
        <f t="shared" si="179"/>
        <v>376617.183</v>
      </c>
      <c r="R23" s="74">
        <f t="shared" si="179"/>
        <v>0</v>
      </c>
      <c r="S23" s="48"/>
      <c r="T23" s="75">
        <f>P23-Q23</f>
        <v>-376617.183</v>
      </c>
      <c r="U23" s="60">
        <f t="shared" si="82"/>
        <v>-1</v>
      </c>
      <c r="V23" s="78">
        <f>P23-R23</f>
        <v>0</v>
      </c>
      <c r="W23" s="60">
        <f t="shared" si="84"/>
        <v>0</v>
      </c>
      <c r="X23" s="48"/>
      <c r="Y23" s="74">
        <f t="shared" ref="Y23:AB23" si="180">SUM(Y18:Y22)</f>
        <v>459415.2663</v>
      </c>
      <c r="Z23" s="74">
        <f t="shared" si="180"/>
        <v>1499105.547</v>
      </c>
      <c r="AA23" s="74">
        <f t="shared" si="180"/>
        <v>1875722.731</v>
      </c>
      <c r="AB23" s="74">
        <f t="shared" si="180"/>
        <v>0</v>
      </c>
      <c r="AC23" s="48"/>
      <c r="AD23" s="75">
        <f>Y23-AA23</f>
        <v>-1416307.464</v>
      </c>
      <c r="AE23" s="60">
        <f t="shared" si="87"/>
        <v>-0.7550729333</v>
      </c>
      <c r="AF23" s="75">
        <f>Y23-AB23</f>
        <v>459415.2663</v>
      </c>
      <c r="AG23" s="60">
        <f t="shared" si="89"/>
        <v>0</v>
      </c>
      <c r="AH23" s="51"/>
      <c r="AI23" s="65">
        <f t="shared" ref="AI23:AU23" si="181">SUM(AI18:AI22)</f>
        <v>0</v>
      </c>
      <c r="AJ23" s="65">
        <f t="shared" si="181"/>
        <v>0</v>
      </c>
      <c r="AK23" s="65">
        <f t="shared" si="181"/>
        <v>0</v>
      </c>
      <c r="AL23" s="65">
        <f t="shared" si="181"/>
        <v>0</v>
      </c>
      <c r="AM23" s="65">
        <f t="shared" si="181"/>
        <v>0</v>
      </c>
      <c r="AN23" s="65">
        <f t="shared" si="181"/>
        <v>0</v>
      </c>
      <c r="AO23" s="65">
        <f t="shared" si="181"/>
        <v>0</v>
      </c>
      <c r="AP23" s="65">
        <f t="shared" si="181"/>
        <v>0</v>
      </c>
      <c r="AQ23" s="65">
        <f t="shared" si="181"/>
        <v>0</v>
      </c>
      <c r="AR23" s="65">
        <f t="shared" si="181"/>
        <v>307563.3399</v>
      </c>
      <c r="AS23" s="65">
        <f t="shared" si="181"/>
        <v>67929.846</v>
      </c>
      <c r="AT23" s="65">
        <f t="shared" si="181"/>
        <v>83922.0804</v>
      </c>
      <c r="AU23" s="65">
        <f t="shared" si="181"/>
        <v>459415.2663</v>
      </c>
      <c r="AV23" s="55"/>
      <c r="AW23" s="65">
        <f t="shared" ref="AW23:BI23" si="182">SUM(AW18:AW22)</f>
        <v>0</v>
      </c>
      <c r="AX23" s="65">
        <f t="shared" si="182"/>
        <v>0</v>
      </c>
      <c r="AY23" s="65">
        <f t="shared" si="182"/>
        <v>0</v>
      </c>
      <c r="AZ23" s="65">
        <f t="shared" si="182"/>
        <v>0</v>
      </c>
      <c r="BA23" s="65">
        <f t="shared" si="182"/>
        <v>0</v>
      </c>
      <c r="BB23" s="65">
        <f t="shared" si="182"/>
        <v>0</v>
      </c>
      <c r="BC23" s="65">
        <f t="shared" si="182"/>
        <v>370735.3036</v>
      </c>
      <c r="BD23" s="65">
        <f t="shared" si="182"/>
        <v>364255.2806</v>
      </c>
      <c r="BE23" s="65">
        <f t="shared" si="182"/>
        <v>304699.6968</v>
      </c>
      <c r="BF23" s="65">
        <f t="shared" si="182"/>
        <v>307563.3399</v>
      </c>
      <c r="BG23" s="65">
        <f t="shared" si="182"/>
        <v>67929.846</v>
      </c>
      <c r="BH23" s="65">
        <f t="shared" si="182"/>
        <v>83922.0804</v>
      </c>
      <c r="BI23" s="65">
        <f t="shared" si="182"/>
        <v>1499105.547</v>
      </c>
      <c r="BJ23" s="56"/>
      <c r="BK23" s="65">
        <f t="shared" ref="BK23:BW23" si="183">SUM(BK18:BK22)</f>
        <v>125897.4313</v>
      </c>
      <c r="BL23" s="65">
        <f t="shared" si="183"/>
        <v>116014.7713</v>
      </c>
      <c r="BM23" s="65">
        <f t="shared" si="183"/>
        <v>27022.001</v>
      </c>
      <c r="BN23" s="65">
        <f t="shared" si="183"/>
        <v>-19938.647</v>
      </c>
      <c r="BO23" s="65">
        <f t="shared" si="183"/>
        <v>4796.423</v>
      </c>
      <c r="BP23" s="65">
        <f t="shared" si="183"/>
        <v>122825.2038</v>
      </c>
      <c r="BQ23" s="65">
        <f t="shared" si="183"/>
        <v>370735.3036</v>
      </c>
      <c r="BR23" s="65">
        <f t="shared" si="183"/>
        <v>364255.2806</v>
      </c>
      <c r="BS23" s="65">
        <f t="shared" si="183"/>
        <v>304699.6968</v>
      </c>
      <c r="BT23" s="65">
        <f t="shared" si="183"/>
        <v>307563.3398</v>
      </c>
      <c r="BU23" s="65">
        <f t="shared" si="183"/>
        <v>67929.846</v>
      </c>
      <c r="BV23" s="65">
        <f t="shared" si="183"/>
        <v>83922.0805</v>
      </c>
      <c r="BW23" s="65">
        <f t="shared" si="183"/>
        <v>1875722.731</v>
      </c>
      <c r="BX23" s="1"/>
      <c r="BY23" s="65" t="str">
        <f t="shared" ref="BY23:CK23" si="184">SUM(BY18:BY22)</f>
        <v>#REF!</v>
      </c>
      <c r="BZ23" s="65">
        <f t="shared" si="184"/>
        <v>0</v>
      </c>
      <c r="CA23" s="65">
        <f t="shared" si="184"/>
        <v>0</v>
      </c>
      <c r="CB23" s="65">
        <f t="shared" si="184"/>
        <v>0</v>
      </c>
      <c r="CC23" s="65">
        <f t="shared" si="184"/>
        <v>0</v>
      </c>
      <c r="CD23" s="65">
        <f t="shared" si="184"/>
        <v>0</v>
      </c>
      <c r="CE23" s="65">
        <f t="shared" si="184"/>
        <v>0</v>
      </c>
      <c r="CF23" s="65">
        <f t="shared" si="184"/>
        <v>0</v>
      </c>
      <c r="CG23" s="65">
        <f t="shared" si="184"/>
        <v>0</v>
      </c>
      <c r="CH23" s="65">
        <f t="shared" si="184"/>
        <v>0</v>
      </c>
      <c r="CI23" s="65">
        <f t="shared" si="184"/>
        <v>0</v>
      </c>
      <c r="CJ23" s="65">
        <f t="shared" si="184"/>
        <v>0</v>
      </c>
      <c r="CK23" s="65">
        <f t="shared" si="184"/>
        <v>0</v>
      </c>
      <c r="CL23" s="65"/>
      <c r="CM23" s="65"/>
      <c r="CN23" s="65"/>
      <c r="CO23" s="65"/>
      <c r="CP23" s="65"/>
      <c r="CQ23" s="65"/>
      <c r="CR23" s="65"/>
      <c r="CS23" s="65"/>
      <c r="CT23" s="65"/>
      <c r="CU23" s="65"/>
      <c r="CV23" s="65"/>
      <c r="CW23" s="65"/>
      <c r="CX23" s="65"/>
      <c r="CY23" s="65"/>
      <c r="CZ23" s="11"/>
      <c r="DA23" s="65">
        <f t="shared" ref="DA23:DM23" si="185">SUM(DA18:DA22)</f>
        <v>125897.4313</v>
      </c>
      <c r="DB23" s="65">
        <f t="shared" si="185"/>
        <v>0</v>
      </c>
      <c r="DC23" s="65">
        <f t="shared" si="185"/>
        <v>0</v>
      </c>
      <c r="DD23" s="65">
        <f t="shared" si="185"/>
        <v>0</v>
      </c>
      <c r="DE23" s="65">
        <f t="shared" si="185"/>
        <v>0</v>
      </c>
      <c r="DF23" s="65">
        <f t="shared" si="185"/>
        <v>0</v>
      </c>
      <c r="DG23" s="65">
        <f t="shared" si="185"/>
        <v>0</v>
      </c>
      <c r="DH23" s="65">
        <f t="shared" si="185"/>
        <v>0</v>
      </c>
      <c r="DI23" s="65">
        <f t="shared" si="185"/>
        <v>0</v>
      </c>
      <c r="DJ23" s="65">
        <f t="shared" si="185"/>
        <v>0</v>
      </c>
      <c r="DK23" s="65">
        <f t="shared" si="185"/>
        <v>0</v>
      </c>
      <c r="DL23" s="65">
        <f t="shared" si="185"/>
        <v>0</v>
      </c>
      <c r="DM23" s="65">
        <f t="shared" si="185"/>
        <v>125897.4313</v>
      </c>
      <c r="DN23" s="65"/>
      <c r="DO23" s="1"/>
      <c r="DP23" s="1"/>
      <c r="DQ23" s="58"/>
    </row>
    <row r="24" ht="3.75" customHeight="1" outlineLevel="1">
      <c r="A24" s="15"/>
      <c r="B24" s="51"/>
      <c r="C24" s="51"/>
      <c r="D24" s="79"/>
      <c r="E24" s="17"/>
      <c r="F24" s="17"/>
      <c r="G24" s="17"/>
      <c r="H24" s="48"/>
      <c r="I24" s="48"/>
      <c r="J24" s="48"/>
      <c r="K24" s="48"/>
      <c r="L24" s="48"/>
      <c r="M24" s="48"/>
      <c r="N24" s="48"/>
      <c r="O24" s="48"/>
      <c r="P24" s="79"/>
      <c r="Q24" s="17"/>
      <c r="R24" s="17"/>
      <c r="S24" s="48"/>
      <c r="T24" s="48"/>
      <c r="U24" s="48"/>
      <c r="V24" s="48"/>
      <c r="W24" s="48"/>
      <c r="X24" s="48"/>
      <c r="Y24" s="79"/>
      <c r="Z24" s="79"/>
      <c r="AA24" s="79"/>
      <c r="AB24" s="79"/>
      <c r="AC24" s="48"/>
      <c r="AD24" s="48"/>
      <c r="AE24" s="48"/>
      <c r="AF24" s="48"/>
      <c r="AG24" s="48"/>
      <c r="AH24" s="5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55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80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11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"/>
      <c r="DO24" s="1"/>
      <c r="DP24" s="1"/>
      <c r="DQ24" s="1"/>
    </row>
    <row r="25" outlineLevel="1">
      <c r="A25" s="73"/>
      <c r="B25" s="82" t="s">
        <v>43</v>
      </c>
      <c r="C25" s="51"/>
      <c r="D25" s="83">
        <f t="shared" ref="D25:G25" si="186">IFERROR((D113-D135-(D234-D231))/D113,0)</f>
        <v>0</v>
      </c>
      <c r="E25" s="83">
        <f t="shared" si="186"/>
        <v>0</v>
      </c>
      <c r="F25" s="83">
        <f t="shared" si="186"/>
        <v>0.8795807975</v>
      </c>
      <c r="G25" s="83">
        <f t="shared" si="186"/>
        <v>0</v>
      </c>
      <c r="H25" s="48"/>
      <c r="I25" s="53">
        <f t="shared" ref="I25:I27" si="195">D25-E25</f>
        <v>0</v>
      </c>
      <c r="J25" s="67">
        <f t="shared" ref="J25:J27" si="196">IFERROR(I25/(E25),0)</f>
        <v>0</v>
      </c>
      <c r="K25" s="53">
        <f t="shared" ref="K25:K27" si="197">D25-F25</f>
        <v>-0.8795807975</v>
      </c>
      <c r="L25" s="67">
        <f t="shared" ref="L25:L27" si="198">IFERROR(K25/(F25),0)</f>
        <v>-1</v>
      </c>
      <c r="M25" s="53">
        <f t="shared" ref="M25:M27" si="199">D25-G25</f>
        <v>0</v>
      </c>
      <c r="N25" s="67">
        <f t="shared" ref="N25:N27" si="200">IFERROR(M25/(G25),0)</f>
        <v>0</v>
      </c>
      <c r="O25" s="48"/>
      <c r="P25" s="83">
        <f t="shared" ref="P25:R25" si="187">IFERROR((P113-P135-P234)/P113,0)</f>
        <v>0</v>
      </c>
      <c r="Q25" s="83">
        <f t="shared" si="187"/>
        <v>0.716973384</v>
      </c>
      <c r="R25" s="83">
        <f t="shared" si="187"/>
        <v>0</v>
      </c>
      <c r="S25" s="48"/>
      <c r="T25" s="53">
        <f t="shared" ref="T25:T27" si="202">P25-Q25</f>
        <v>-0.716973384</v>
      </c>
      <c r="U25" s="67">
        <f t="shared" ref="U25:U27" si="203">IFERROR(T25/ABS(Q25),0)</f>
        <v>-1</v>
      </c>
      <c r="V25" s="53">
        <f t="shared" ref="V25:V27" si="204">P25-R25</f>
        <v>0</v>
      </c>
      <c r="W25" s="67">
        <f t="shared" ref="W25:W27" si="205">IFERROR(V25/ABS(R25),0)</f>
        <v>0</v>
      </c>
      <c r="X25" s="48"/>
      <c r="Y25" s="83">
        <f t="shared" ref="Y25:AB25" si="188">IFERROR((Y113-Y135-Y234)/Y113,0)</f>
        <v>0.5977163759</v>
      </c>
      <c r="Z25" s="83">
        <f t="shared" si="188"/>
        <v>0.6394507047</v>
      </c>
      <c r="AA25" s="83">
        <f t="shared" si="188"/>
        <v>0.6665257969</v>
      </c>
      <c r="AB25" s="83">
        <f t="shared" si="188"/>
        <v>0</v>
      </c>
      <c r="AC25" s="48"/>
      <c r="AD25" s="53">
        <f t="shared" ref="AD25:AD27" si="207">Y25-AA25</f>
        <v>-0.068809421</v>
      </c>
      <c r="AE25" s="67">
        <f t="shared" ref="AE25:AE27" si="208">IFERROR(AD25/ABS(AA25),0)</f>
        <v>-0.1032359457</v>
      </c>
      <c r="AF25" s="53">
        <f t="shared" ref="AF25:AF27" si="209">Y25-AB25</f>
        <v>0.5977163759</v>
      </c>
      <c r="AG25" s="67">
        <f t="shared" ref="AG25:AG27" si="210">IFERROR(AF25/ABS(AB25),0)</f>
        <v>0</v>
      </c>
      <c r="AH25" s="51"/>
      <c r="AI25" s="84">
        <f t="shared" ref="AI25:AU25" si="189">IFERROR((AI113-AI135-AI234)/AI113,0)</f>
        <v>0</v>
      </c>
      <c r="AJ25" s="84">
        <f t="shared" si="189"/>
        <v>0</v>
      </c>
      <c r="AK25" s="84">
        <f t="shared" si="189"/>
        <v>0</v>
      </c>
      <c r="AL25" s="84">
        <f t="shared" si="189"/>
        <v>0</v>
      </c>
      <c r="AM25" s="84">
        <f t="shared" si="189"/>
        <v>0</v>
      </c>
      <c r="AN25" s="84">
        <f t="shared" si="189"/>
        <v>0</v>
      </c>
      <c r="AO25" s="84">
        <f t="shared" si="189"/>
        <v>0</v>
      </c>
      <c r="AP25" s="84">
        <f t="shared" si="189"/>
        <v>0</v>
      </c>
      <c r="AQ25" s="84">
        <f t="shared" si="189"/>
        <v>0</v>
      </c>
      <c r="AR25" s="84">
        <f t="shared" si="189"/>
        <v>0.6218369973</v>
      </c>
      <c r="AS25" s="84">
        <f t="shared" si="189"/>
        <v>0.5658342558</v>
      </c>
      <c r="AT25" s="84">
        <f t="shared" si="189"/>
        <v>0.579096923</v>
      </c>
      <c r="AU25" s="84">
        <f t="shared" si="189"/>
        <v>0.5977163759</v>
      </c>
      <c r="AV25" s="55"/>
      <c r="AW25" s="84">
        <f t="shared" ref="AW25:BI25" si="190">IFERROR((AW113-AW135-AW234)/AW113,0)</f>
        <v>0</v>
      </c>
      <c r="AX25" s="84">
        <f t="shared" si="190"/>
        <v>0</v>
      </c>
      <c r="AY25" s="84">
        <f t="shared" si="190"/>
        <v>0</v>
      </c>
      <c r="AZ25" s="84">
        <f t="shared" si="190"/>
        <v>0</v>
      </c>
      <c r="BA25" s="84">
        <f t="shared" si="190"/>
        <v>0</v>
      </c>
      <c r="BB25" s="84">
        <f t="shared" si="190"/>
        <v>0</v>
      </c>
      <c r="BC25" s="84">
        <f t="shared" si="190"/>
        <v>0.6841308189</v>
      </c>
      <c r="BD25" s="84">
        <f t="shared" si="190"/>
        <v>0.6432409685</v>
      </c>
      <c r="BE25" s="84">
        <f t="shared" si="190"/>
        <v>0.6640816543</v>
      </c>
      <c r="BF25" s="84">
        <f t="shared" si="190"/>
        <v>0.6218369973</v>
      </c>
      <c r="BG25" s="84">
        <f t="shared" si="190"/>
        <v>0.5658342558</v>
      </c>
      <c r="BH25" s="84">
        <f t="shared" si="190"/>
        <v>0.579096923</v>
      </c>
      <c r="BI25" s="84">
        <f t="shared" si="190"/>
        <v>0.6394507047</v>
      </c>
      <c r="BJ25" s="85"/>
      <c r="BK25" s="83">
        <f t="shared" ref="BK25:BW25" si="191">IFERROR((BK113-BK135-BK234)/BK113,0)</f>
        <v>0.7411795875</v>
      </c>
      <c r="BL25" s="83">
        <f t="shared" si="191"/>
        <v>0.7421827907</v>
      </c>
      <c r="BM25" s="83">
        <f t="shared" si="191"/>
        <v>0.7326925911</v>
      </c>
      <c r="BN25" s="83">
        <f t="shared" si="191"/>
        <v>0.6832421298</v>
      </c>
      <c r="BO25" s="83">
        <f t="shared" si="191"/>
        <v>0.5927433412</v>
      </c>
      <c r="BP25" s="83">
        <f t="shared" si="191"/>
        <v>0.7471279262</v>
      </c>
      <c r="BQ25" s="83">
        <f t="shared" si="191"/>
        <v>0.684130819</v>
      </c>
      <c r="BR25" s="83">
        <f t="shared" si="191"/>
        <v>0.6432409685</v>
      </c>
      <c r="BS25" s="83">
        <f t="shared" si="191"/>
        <v>0.6640816544</v>
      </c>
      <c r="BT25" s="83">
        <f t="shared" si="191"/>
        <v>0.6218369973</v>
      </c>
      <c r="BU25" s="83">
        <f t="shared" si="191"/>
        <v>0.5658342558</v>
      </c>
      <c r="BV25" s="83">
        <f t="shared" si="191"/>
        <v>0.5790969233</v>
      </c>
      <c r="BW25" s="83">
        <f t="shared" si="191"/>
        <v>0.6665257969</v>
      </c>
      <c r="BX25" s="86"/>
      <c r="BY25" s="83">
        <f t="shared" ref="BY25:CK25" si="192">IFERROR((BY113-BY135-BY234)/BY113,0)</f>
        <v>0</v>
      </c>
      <c r="BZ25" s="83">
        <f t="shared" si="192"/>
        <v>0</v>
      </c>
      <c r="CA25" s="83">
        <f t="shared" si="192"/>
        <v>0</v>
      </c>
      <c r="CB25" s="83">
        <f t="shared" si="192"/>
        <v>0</v>
      </c>
      <c r="CC25" s="83">
        <f t="shared" si="192"/>
        <v>0</v>
      </c>
      <c r="CD25" s="83">
        <f t="shared" si="192"/>
        <v>0</v>
      </c>
      <c r="CE25" s="83">
        <f t="shared" si="192"/>
        <v>0</v>
      </c>
      <c r="CF25" s="83">
        <f t="shared" si="192"/>
        <v>0</v>
      </c>
      <c r="CG25" s="83">
        <f t="shared" si="192"/>
        <v>0</v>
      </c>
      <c r="CH25" s="83">
        <f t="shared" si="192"/>
        <v>0</v>
      </c>
      <c r="CI25" s="83">
        <f t="shared" si="192"/>
        <v>0</v>
      </c>
      <c r="CJ25" s="83">
        <f t="shared" si="192"/>
        <v>0</v>
      </c>
      <c r="CK25" s="83">
        <f t="shared" si="192"/>
        <v>0</v>
      </c>
      <c r="CL25" s="87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6"/>
      <c r="DA25" s="83">
        <f t="shared" ref="DA25:DM25" si="193">IFERROR((DA113-DA135-DA234)/DA113,0)</f>
        <v>0.7411795872</v>
      </c>
      <c r="DB25" s="83">
        <f t="shared" si="193"/>
        <v>0</v>
      </c>
      <c r="DC25" s="83">
        <f t="shared" si="193"/>
        <v>0</v>
      </c>
      <c r="DD25" s="83">
        <f t="shared" si="193"/>
        <v>0</v>
      </c>
      <c r="DE25" s="83">
        <f t="shared" si="193"/>
        <v>0</v>
      </c>
      <c r="DF25" s="83">
        <f t="shared" si="193"/>
        <v>0</v>
      </c>
      <c r="DG25" s="83">
        <f t="shared" si="193"/>
        <v>0</v>
      </c>
      <c r="DH25" s="83">
        <f t="shared" si="193"/>
        <v>0</v>
      </c>
      <c r="DI25" s="83">
        <f t="shared" si="193"/>
        <v>0</v>
      </c>
      <c r="DJ25" s="83">
        <f t="shared" si="193"/>
        <v>0</v>
      </c>
      <c r="DK25" s="83">
        <f t="shared" si="193"/>
        <v>0</v>
      </c>
      <c r="DL25" s="83">
        <f t="shared" si="193"/>
        <v>0</v>
      </c>
      <c r="DM25" s="83">
        <f t="shared" si="193"/>
        <v>0.7411795872</v>
      </c>
      <c r="DN25" s="89"/>
      <c r="DO25" s="1"/>
      <c r="DP25" s="1"/>
      <c r="DQ25" s="90"/>
    </row>
    <row r="26" outlineLevel="1">
      <c r="A26" s="15"/>
      <c r="B26" s="82" t="s">
        <v>44</v>
      </c>
      <c r="C26" s="51"/>
      <c r="D26" s="83">
        <f t="shared" ref="D26:G26" si="194">IFERROR(D15/D12,0)</f>
        <v>0</v>
      </c>
      <c r="E26" s="83">
        <f t="shared" si="194"/>
        <v>0</v>
      </c>
      <c r="F26" s="83">
        <f t="shared" si="194"/>
        <v>0.4825794835</v>
      </c>
      <c r="G26" s="83">
        <f t="shared" si="194"/>
        <v>0</v>
      </c>
      <c r="H26" s="91"/>
      <c r="I26" s="53">
        <f t="shared" si="195"/>
        <v>0</v>
      </c>
      <c r="J26" s="67">
        <f t="shared" si="196"/>
        <v>0</v>
      </c>
      <c r="K26" s="53">
        <f t="shared" si="197"/>
        <v>-0.4825794835</v>
      </c>
      <c r="L26" s="67">
        <f t="shared" si="198"/>
        <v>-1</v>
      </c>
      <c r="M26" s="53">
        <f t="shared" si="199"/>
        <v>0</v>
      </c>
      <c r="N26" s="67">
        <f t="shared" si="200"/>
        <v>0</v>
      </c>
      <c r="O26" s="91"/>
      <c r="P26" s="83">
        <f t="shared" ref="P26:R26" si="201">IFERROR(P15/P12,0)</f>
        <v>0</v>
      </c>
      <c r="Q26" s="83">
        <f t="shared" si="201"/>
        <v>0.3911392559</v>
      </c>
      <c r="R26" s="83">
        <f t="shared" si="201"/>
        <v>0</v>
      </c>
      <c r="S26" s="91"/>
      <c r="T26" s="53">
        <f t="shared" si="202"/>
        <v>-0.3911392559</v>
      </c>
      <c r="U26" s="67">
        <f t="shared" si="203"/>
        <v>-1</v>
      </c>
      <c r="V26" s="53">
        <f t="shared" si="204"/>
        <v>0</v>
      </c>
      <c r="W26" s="67">
        <f t="shared" si="205"/>
        <v>0</v>
      </c>
      <c r="X26" s="91"/>
      <c r="Y26" s="83">
        <f t="shared" ref="Y26:AB26" si="206">IFERROR(Y15/Y12,0)</f>
        <v>0.5481090465</v>
      </c>
      <c r="Z26" s="83">
        <f t="shared" si="206"/>
        <v>0.6086112571</v>
      </c>
      <c r="AA26" s="83">
        <f t="shared" si="206"/>
        <v>0.5326583295</v>
      </c>
      <c r="AB26" s="83">
        <f t="shared" si="206"/>
        <v>0</v>
      </c>
      <c r="AC26" s="91"/>
      <c r="AD26" s="92">
        <f t="shared" si="207"/>
        <v>0.01545071698</v>
      </c>
      <c r="AE26" s="67">
        <f t="shared" si="208"/>
        <v>0.02900680628</v>
      </c>
      <c r="AF26" s="92">
        <f t="shared" si="209"/>
        <v>0.5481090465</v>
      </c>
      <c r="AG26" s="67">
        <f t="shared" si="210"/>
        <v>0</v>
      </c>
      <c r="AH26" s="51"/>
      <c r="AI26" s="81">
        <f t="shared" ref="AI26:AU26" si="211">IFERROR(AI15/AI12,0)</f>
        <v>0</v>
      </c>
      <c r="AJ26" s="81">
        <f t="shared" si="211"/>
        <v>0</v>
      </c>
      <c r="AK26" s="81">
        <f t="shared" si="211"/>
        <v>0</v>
      </c>
      <c r="AL26" s="81">
        <f t="shared" si="211"/>
        <v>0</v>
      </c>
      <c r="AM26" s="81">
        <f t="shared" si="211"/>
        <v>0</v>
      </c>
      <c r="AN26" s="81">
        <f t="shared" si="211"/>
        <v>0</v>
      </c>
      <c r="AO26" s="81">
        <f t="shared" si="211"/>
        <v>0</v>
      </c>
      <c r="AP26" s="81">
        <f t="shared" si="211"/>
        <v>0</v>
      </c>
      <c r="AQ26" s="81">
        <f t="shared" si="211"/>
        <v>0</v>
      </c>
      <c r="AR26" s="81">
        <f t="shared" si="211"/>
        <v>0.6504160636</v>
      </c>
      <c r="AS26" s="81">
        <f t="shared" si="211"/>
        <v>0.4375104261</v>
      </c>
      <c r="AT26" s="81">
        <f t="shared" si="211"/>
        <v>0.4473181701</v>
      </c>
      <c r="AU26" s="81">
        <f t="shared" si="211"/>
        <v>0.5481090465</v>
      </c>
      <c r="AV26" s="55"/>
      <c r="AW26" s="81">
        <f t="shared" ref="AW26:BI26" si="212">IFERROR(AW15/AW12,0)</f>
        <v>0</v>
      </c>
      <c r="AX26" s="81">
        <f t="shared" si="212"/>
        <v>0</v>
      </c>
      <c r="AY26" s="81">
        <f t="shared" si="212"/>
        <v>0</v>
      </c>
      <c r="AZ26" s="81">
        <f t="shared" si="212"/>
        <v>0</v>
      </c>
      <c r="BA26" s="81">
        <f t="shared" si="212"/>
        <v>0</v>
      </c>
      <c r="BB26" s="81">
        <f t="shared" si="212"/>
        <v>0</v>
      </c>
      <c r="BC26" s="81">
        <f t="shared" si="212"/>
        <v>0.6444835251</v>
      </c>
      <c r="BD26" s="81">
        <f t="shared" si="212"/>
        <v>0.6495623299</v>
      </c>
      <c r="BE26" s="81">
        <f t="shared" si="212"/>
        <v>0.6376324679</v>
      </c>
      <c r="BF26" s="81">
        <f t="shared" si="212"/>
        <v>0.6504160636</v>
      </c>
      <c r="BG26" s="81">
        <f t="shared" si="212"/>
        <v>0.4375104261</v>
      </c>
      <c r="BH26" s="81">
        <f t="shared" si="212"/>
        <v>0.4473181701</v>
      </c>
      <c r="BI26" s="81">
        <f t="shared" si="212"/>
        <v>0.6086112571</v>
      </c>
      <c r="BJ26" s="85"/>
      <c r="BK26" s="93">
        <f t="shared" ref="BK26:BW26" si="213">IFERROR(BK15/BK12,0)</f>
        <v>0.4974190376</v>
      </c>
      <c r="BL26" s="93">
        <f t="shared" si="213"/>
        <v>0.4860957655</v>
      </c>
      <c r="BM26" s="93">
        <f t="shared" si="213"/>
        <v>0.3154825871</v>
      </c>
      <c r="BN26" s="93">
        <f t="shared" si="213"/>
        <v>0.1001151763</v>
      </c>
      <c r="BO26" s="93">
        <f t="shared" si="213"/>
        <v>0.2158413409</v>
      </c>
      <c r="BP26" s="93">
        <f t="shared" si="213"/>
        <v>0.4825794844</v>
      </c>
      <c r="BQ26" s="93">
        <f t="shared" si="213"/>
        <v>0.6444835251</v>
      </c>
      <c r="BR26" s="93">
        <f t="shared" si="213"/>
        <v>0.6495623299</v>
      </c>
      <c r="BS26" s="93">
        <f t="shared" si="213"/>
        <v>0.6376324679</v>
      </c>
      <c r="BT26" s="93">
        <f t="shared" si="213"/>
        <v>0.6504160634</v>
      </c>
      <c r="BU26" s="93">
        <f t="shared" si="213"/>
        <v>0.4375104261</v>
      </c>
      <c r="BV26" s="93">
        <f t="shared" si="213"/>
        <v>0.4473181705</v>
      </c>
      <c r="BW26" s="93">
        <f t="shared" si="213"/>
        <v>0.5326583295</v>
      </c>
      <c r="BX26" s="94"/>
      <c r="BY26" s="93">
        <f t="shared" ref="BY26:CK26" si="214">IFERROR(BY15/BY12,0)</f>
        <v>0</v>
      </c>
      <c r="BZ26" s="93">
        <f t="shared" si="214"/>
        <v>0</v>
      </c>
      <c r="CA26" s="93">
        <f t="shared" si="214"/>
        <v>0</v>
      </c>
      <c r="CB26" s="93">
        <f t="shared" si="214"/>
        <v>0</v>
      </c>
      <c r="CC26" s="93">
        <f t="shared" si="214"/>
        <v>0</v>
      </c>
      <c r="CD26" s="93">
        <f t="shared" si="214"/>
        <v>0</v>
      </c>
      <c r="CE26" s="93">
        <f t="shared" si="214"/>
        <v>0</v>
      </c>
      <c r="CF26" s="93">
        <f t="shared" si="214"/>
        <v>0</v>
      </c>
      <c r="CG26" s="93">
        <f t="shared" si="214"/>
        <v>0</v>
      </c>
      <c r="CH26" s="93">
        <f t="shared" si="214"/>
        <v>0</v>
      </c>
      <c r="CI26" s="93">
        <f t="shared" si="214"/>
        <v>0</v>
      </c>
      <c r="CJ26" s="93">
        <f t="shared" si="214"/>
        <v>0</v>
      </c>
      <c r="CK26" s="93">
        <f t="shared" si="214"/>
        <v>0</v>
      </c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  <c r="CY26" s="93"/>
      <c r="CZ26" s="11"/>
      <c r="DA26" s="93">
        <f t="shared" ref="DA26:DM26" si="215">IFERROR(DA15/DA12,0)</f>
        <v>0.4974190376</v>
      </c>
      <c r="DB26" s="93">
        <f t="shared" si="215"/>
        <v>0</v>
      </c>
      <c r="DC26" s="93">
        <f t="shared" si="215"/>
        <v>0</v>
      </c>
      <c r="DD26" s="93">
        <f t="shared" si="215"/>
        <v>0</v>
      </c>
      <c r="DE26" s="93">
        <f t="shared" si="215"/>
        <v>0</v>
      </c>
      <c r="DF26" s="93">
        <f t="shared" si="215"/>
        <v>0</v>
      </c>
      <c r="DG26" s="93">
        <f t="shared" si="215"/>
        <v>0</v>
      </c>
      <c r="DH26" s="93">
        <f t="shared" si="215"/>
        <v>0</v>
      </c>
      <c r="DI26" s="93">
        <f t="shared" si="215"/>
        <v>0</v>
      </c>
      <c r="DJ26" s="93">
        <f t="shared" si="215"/>
        <v>0</v>
      </c>
      <c r="DK26" s="93">
        <f t="shared" si="215"/>
        <v>0</v>
      </c>
      <c r="DL26" s="93">
        <f t="shared" si="215"/>
        <v>0</v>
      </c>
      <c r="DM26" s="93">
        <f t="shared" si="215"/>
        <v>0.4974190376</v>
      </c>
      <c r="DN26" s="81"/>
      <c r="DO26" s="1"/>
      <c r="DP26" s="1"/>
      <c r="DQ26" s="90"/>
    </row>
    <row r="27" outlineLevel="1">
      <c r="A27" s="15"/>
      <c r="B27" s="82" t="s">
        <v>45</v>
      </c>
      <c r="C27" s="51"/>
      <c r="D27" s="83">
        <f t="shared" ref="D27:G27" si="216">IFERROR(D18/D12,0)</f>
        <v>0</v>
      </c>
      <c r="E27" s="83">
        <f t="shared" si="216"/>
        <v>0</v>
      </c>
      <c r="F27" s="83">
        <f t="shared" si="216"/>
        <v>0.4825794835</v>
      </c>
      <c r="G27" s="83">
        <f t="shared" si="216"/>
        <v>0</v>
      </c>
      <c r="H27" s="91"/>
      <c r="I27" s="53">
        <f t="shared" si="195"/>
        <v>0</v>
      </c>
      <c r="J27" s="67">
        <f t="shared" si="196"/>
        <v>0</v>
      </c>
      <c r="K27" s="53">
        <f t="shared" si="197"/>
        <v>-0.4825794835</v>
      </c>
      <c r="L27" s="67">
        <f t="shared" si="198"/>
        <v>-1</v>
      </c>
      <c r="M27" s="53">
        <f t="shared" si="199"/>
        <v>0</v>
      </c>
      <c r="N27" s="67">
        <f t="shared" si="200"/>
        <v>0</v>
      </c>
      <c r="O27" s="91"/>
      <c r="P27" s="83">
        <f t="shared" ref="P27:R27" si="217">IFERROR(P18/P12,0)</f>
        <v>0</v>
      </c>
      <c r="Q27" s="83">
        <f t="shared" si="217"/>
        <v>0.3911392559</v>
      </c>
      <c r="R27" s="83">
        <f t="shared" si="217"/>
        <v>0</v>
      </c>
      <c r="S27" s="91"/>
      <c r="T27" s="53">
        <f t="shared" si="202"/>
        <v>-0.3911392559</v>
      </c>
      <c r="U27" s="67">
        <f t="shared" si="203"/>
        <v>-1</v>
      </c>
      <c r="V27" s="53">
        <f t="shared" si="204"/>
        <v>0</v>
      </c>
      <c r="W27" s="67">
        <f t="shared" si="205"/>
        <v>0</v>
      </c>
      <c r="X27" s="91"/>
      <c r="Y27" s="83">
        <f t="shared" ref="Y27:AB27" si="218">IFERROR(Y18/Y12,0)</f>
        <v>0.5481090465</v>
      </c>
      <c r="Z27" s="83">
        <f t="shared" si="218"/>
        <v>0.6086112571</v>
      </c>
      <c r="AA27" s="83">
        <f t="shared" si="218"/>
        <v>0.5326583295</v>
      </c>
      <c r="AB27" s="83">
        <f t="shared" si="218"/>
        <v>0</v>
      </c>
      <c r="AC27" s="91"/>
      <c r="AD27" s="92">
        <f t="shared" si="207"/>
        <v>0.01545071698</v>
      </c>
      <c r="AE27" s="67">
        <f t="shared" si="208"/>
        <v>0.02900680628</v>
      </c>
      <c r="AF27" s="92">
        <f t="shared" si="209"/>
        <v>0.5481090465</v>
      </c>
      <c r="AG27" s="67">
        <f t="shared" si="210"/>
        <v>0</v>
      </c>
      <c r="AH27" s="51"/>
      <c r="AI27" s="81">
        <f t="shared" ref="AI27:AU27" si="219">IFERROR(AI18/AI12,0)</f>
        <v>0</v>
      </c>
      <c r="AJ27" s="81">
        <f t="shared" si="219"/>
        <v>0</v>
      </c>
      <c r="AK27" s="81">
        <f t="shared" si="219"/>
        <v>0</v>
      </c>
      <c r="AL27" s="81">
        <f t="shared" si="219"/>
        <v>0</v>
      </c>
      <c r="AM27" s="81">
        <f t="shared" si="219"/>
        <v>0</v>
      </c>
      <c r="AN27" s="81">
        <f t="shared" si="219"/>
        <v>0</v>
      </c>
      <c r="AO27" s="81">
        <f t="shared" si="219"/>
        <v>0</v>
      </c>
      <c r="AP27" s="81">
        <f t="shared" si="219"/>
        <v>0</v>
      </c>
      <c r="AQ27" s="81">
        <f t="shared" si="219"/>
        <v>0</v>
      </c>
      <c r="AR27" s="81">
        <f t="shared" si="219"/>
        <v>0.6504160636</v>
      </c>
      <c r="AS27" s="81">
        <f t="shared" si="219"/>
        <v>0.4375104261</v>
      </c>
      <c r="AT27" s="81">
        <f t="shared" si="219"/>
        <v>0.4473181701</v>
      </c>
      <c r="AU27" s="81">
        <f t="shared" si="219"/>
        <v>0.5481090465</v>
      </c>
      <c r="AV27" s="55"/>
      <c r="AW27" s="81">
        <f t="shared" ref="AW27:BI27" si="220">IFERROR(AW18/AW12,0)</f>
        <v>0</v>
      </c>
      <c r="AX27" s="81">
        <f t="shared" si="220"/>
        <v>0</v>
      </c>
      <c r="AY27" s="81">
        <f t="shared" si="220"/>
        <v>0</v>
      </c>
      <c r="AZ27" s="81">
        <f t="shared" si="220"/>
        <v>0</v>
      </c>
      <c r="BA27" s="81">
        <f t="shared" si="220"/>
        <v>0</v>
      </c>
      <c r="BB27" s="81">
        <f t="shared" si="220"/>
        <v>0</v>
      </c>
      <c r="BC27" s="81">
        <f t="shared" si="220"/>
        <v>0.6444835251</v>
      </c>
      <c r="BD27" s="81">
        <f t="shared" si="220"/>
        <v>0.6495623299</v>
      </c>
      <c r="BE27" s="81">
        <f t="shared" si="220"/>
        <v>0.6376324679</v>
      </c>
      <c r="BF27" s="81">
        <f t="shared" si="220"/>
        <v>0.6504160636</v>
      </c>
      <c r="BG27" s="81">
        <f t="shared" si="220"/>
        <v>0.4375104261</v>
      </c>
      <c r="BH27" s="81">
        <f t="shared" si="220"/>
        <v>0.4473181701</v>
      </c>
      <c r="BI27" s="81">
        <f t="shared" si="220"/>
        <v>0.6086112571</v>
      </c>
      <c r="BJ27" s="85"/>
      <c r="BK27" s="93">
        <f t="shared" ref="BK27:BW27" si="221">IFERROR(BK18/BK12,0)</f>
        <v>0.4974190376</v>
      </c>
      <c r="BL27" s="93">
        <f t="shared" si="221"/>
        <v>0.4860957655</v>
      </c>
      <c r="BM27" s="93">
        <f t="shared" si="221"/>
        <v>0.3154825871</v>
      </c>
      <c r="BN27" s="93">
        <f t="shared" si="221"/>
        <v>0.1001151763</v>
      </c>
      <c r="BO27" s="93">
        <f t="shared" si="221"/>
        <v>0.2158413409</v>
      </c>
      <c r="BP27" s="93">
        <f t="shared" si="221"/>
        <v>0.4825794844</v>
      </c>
      <c r="BQ27" s="93">
        <f t="shared" si="221"/>
        <v>0.6444835251</v>
      </c>
      <c r="BR27" s="93">
        <f t="shared" si="221"/>
        <v>0.6495623299</v>
      </c>
      <c r="BS27" s="93">
        <f t="shared" si="221"/>
        <v>0.6376324679</v>
      </c>
      <c r="BT27" s="93">
        <f t="shared" si="221"/>
        <v>0.6504160634</v>
      </c>
      <c r="BU27" s="93">
        <f t="shared" si="221"/>
        <v>0.4375104261</v>
      </c>
      <c r="BV27" s="93">
        <f t="shared" si="221"/>
        <v>0.4473181705</v>
      </c>
      <c r="BW27" s="93">
        <f t="shared" si="221"/>
        <v>0.5326583295</v>
      </c>
      <c r="BX27" s="94"/>
      <c r="BY27" s="93">
        <f t="shared" ref="BY27:CK27" si="222">IFERROR(BY18/BY12,0)</f>
        <v>0</v>
      </c>
      <c r="BZ27" s="93">
        <f t="shared" si="222"/>
        <v>0</v>
      </c>
      <c r="CA27" s="93">
        <f t="shared" si="222"/>
        <v>0</v>
      </c>
      <c r="CB27" s="93">
        <f t="shared" si="222"/>
        <v>0</v>
      </c>
      <c r="CC27" s="93">
        <f t="shared" si="222"/>
        <v>0</v>
      </c>
      <c r="CD27" s="93">
        <f t="shared" si="222"/>
        <v>0</v>
      </c>
      <c r="CE27" s="93">
        <f t="shared" si="222"/>
        <v>0</v>
      </c>
      <c r="CF27" s="93">
        <f t="shared" si="222"/>
        <v>0</v>
      </c>
      <c r="CG27" s="93">
        <f t="shared" si="222"/>
        <v>0</v>
      </c>
      <c r="CH27" s="93">
        <f t="shared" si="222"/>
        <v>0</v>
      </c>
      <c r="CI27" s="93">
        <f t="shared" si="222"/>
        <v>0</v>
      </c>
      <c r="CJ27" s="93">
        <f t="shared" si="222"/>
        <v>0</v>
      </c>
      <c r="CK27" s="93">
        <f t="shared" si="222"/>
        <v>0</v>
      </c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  <c r="CY27" s="93"/>
      <c r="CZ27" s="11"/>
      <c r="DA27" s="93">
        <f t="shared" ref="DA27:DM27" si="223">IFERROR(DA18/DA12,0)</f>
        <v>0.4974190376</v>
      </c>
      <c r="DB27" s="93">
        <f t="shared" si="223"/>
        <v>0</v>
      </c>
      <c r="DC27" s="93">
        <f t="shared" si="223"/>
        <v>0</v>
      </c>
      <c r="DD27" s="93">
        <f t="shared" si="223"/>
        <v>0</v>
      </c>
      <c r="DE27" s="93">
        <f t="shared" si="223"/>
        <v>0</v>
      </c>
      <c r="DF27" s="93">
        <f t="shared" si="223"/>
        <v>0</v>
      </c>
      <c r="DG27" s="93">
        <f t="shared" si="223"/>
        <v>0</v>
      </c>
      <c r="DH27" s="93">
        <f t="shared" si="223"/>
        <v>0</v>
      </c>
      <c r="DI27" s="93">
        <f t="shared" si="223"/>
        <v>0</v>
      </c>
      <c r="DJ27" s="93">
        <f t="shared" si="223"/>
        <v>0</v>
      </c>
      <c r="DK27" s="93">
        <f t="shared" si="223"/>
        <v>0</v>
      </c>
      <c r="DL27" s="93">
        <f t="shared" si="223"/>
        <v>0</v>
      </c>
      <c r="DM27" s="93">
        <f t="shared" si="223"/>
        <v>0.4974190376</v>
      </c>
      <c r="DN27" s="81"/>
      <c r="DO27" s="1"/>
      <c r="DP27" s="1"/>
      <c r="DQ27" s="90"/>
    </row>
    <row r="28" ht="3.75" customHeight="1" outlineLevel="1">
      <c r="A28" s="15"/>
      <c r="B28" s="51"/>
      <c r="C28" s="51"/>
      <c r="D28" s="79"/>
      <c r="E28" s="17"/>
      <c r="F28" s="17"/>
      <c r="G28" s="17"/>
      <c r="H28" s="48"/>
      <c r="I28" s="48"/>
      <c r="J28" s="48"/>
      <c r="K28" s="48"/>
      <c r="L28" s="48"/>
      <c r="M28" s="48"/>
      <c r="N28" s="48"/>
      <c r="O28" s="48"/>
      <c r="P28" s="79"/>
      <c r="Q28" s="95"/>
      <c r="R28" s="95"/>
      <c r="S28" s="48"/>
      <c r="T28" s="48"/>
      <c r="U28" s="48"/>
      <c r="V28" s="48"/>
      <c r="W28" s="48"/>
      <c r="X28" s="48"/>
      <c r="Y28" s="79"/>
      <c r="Z28" s="79"/>
      <c r="AA28" s="79"/>
      <c r="AB28" s="79"/>
      <c r="AC28" s="48"/>
      <c r="AD28" s="48"/>
      <c r="AE28" s="48"/>
      <c r="AF28" s="48"/>
      <c r="AG28" s="48"/>
      <c r="AH28" s="5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55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80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  <c r="CY28" s="93"/>
      <c r="CZ28" s="11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"/>
      <c r="DO28" s="1"/>
      <c r="DP28" s="1"/>
      <c r="DQ28" s="1"/>
    </row>
    <row r="29" outlineLevel="1">
      <c r="A29" s="15"/>
      <c r="B29" s="82" t="s">
        <v>46</v>
      </c>
      <c r="C29" s="51"/>
      <c r="D29" s="79"/>
      <c r="E29" s="4"/>
      <c r="F29" s="4"/>
      <c r="G29" s="4"/>
      <c r="H29" s="48"/>
      <c r="I29" s="48"/>
      <c r="J29" s="54">
        <f>IFERROR(I15/I$12,0)</f>
        <v>0</v>
      </c>
      <c r="K29" s="96"/>
      <c r="L29" s="54">
        <f>IFERROR(K15/K$12,0)</f>
        <v>0.4825794835</v>
      </c>
      <c r="M29" s="96"/>
      <c r="N29" s="54">
        <f>IFERROR(M15/M$12,0)</f>
        <v>0</v>
      </c>
      <c r="O29" s="96"/>
      <c r="P29" s="96"/>
      <c r="Q29" s="4"/>
      <c r="R29" s="4"/>
      <c r="S29" s="48"/>
      <c r="T29" s="48"/>
      <c r="U29" s="54">
        <f>IFERROR(T15/T$12,0)</f>
        <v>0.3911392559</v>
      </c>
      <c r="V29" s="48"/>
      <c r="W29" s="54">
        <f>IFERROR(V15/V$12,0)</f>
        <v>0</v>
      </c>
      <c r="X29" s="48"/>
      <c r="Y29" s="79"/>
      <c r="Z29" s="79"/>
      <c r="AA29" s="79"/>
      <c r="AB29" s="79" t="str">
        <f t="shared" ref="AB29:AB30" si="224">$CK29</f>
        <v/>
      </c>
      <c r="AC29" s="48"/>
      <c r="AD29" s="48"/>
      <c r="AE29" s="54">
        <f>IFERROR(AD15/AD$12,0)</f>
        <v>0.5277552958</v>
      </c>
      <c r="AF29" s="48"/>
      <c r="AG29" s="54">
        <f>IFERROR(AF15/AF$12,0)</f>
        <v>0.5481090465</v>
      </c>
      <c r="AH29" s="5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55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8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94"/>
      <c r="BY29" s="97"/>
      <c r="BZ29" s="97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  <c r="CY29" s="93"/>
      <c r="CZ29" s="11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"/>
      <c r="DO29" s="1"/>
      <c r="DP29" s="1"/>
      <c r="DQ29" s="1"/>
    </row>
    <row r="30" outlineLevel="1">
      <c r="A30" s="15"/>
      <c r="B30" s="82" t="s">
        <v>47</v>
      </c>
      <c r="C30" s="51"/>
      <c r="D30" s="79"/>
      <c r="E30" s="4"/>
      <c r="F30" s="4"/>
      <c r="G30" s="4"/>
      <c r="H30" s="48"/>
      <c r="I30" s="48"/>
      <c r="J30" s="54">
        <f>IFERROR(I18/I$12,0)</f>
        <v>0</v>
      </c>
      <c r="K30" s="96"/>
      <c r="L30" s="54">
        <f>IFERROR(K18/K$12,0)</f>
        <v>0.4825794835</v>
      </c>
      <c r="M30" s="96"/>
      <c r="N30" s="54">
        <f>IFERROR(M18/M$12,0)</f>
        <v>0</v>
      </c>
      <c r="O30" s="96"/>
      <c r="P30" s="96"/>
      <c r="Q30" s="4"/>
      <c r="R30" s="4"/>
      <c r="S30" s="48"/>
      <c r="T30" s="48"/>
      <c r="U30" s="54">
        <f>IFERROR(T18/T$12,0)</f>
        <v>0.3911392559</v>
      </c>
      <c r="V30" s="48"/>
      <c r="W30" s="54">
        <f>IFERROR(V18/V$12,0)</f>
        <v>0</v>
      </c>
      <c r="X30" s="48"/>
      <c r="Y30" s="79"/>
      <c r="Z30" s="79"/>
      <c r="AA30" s="79"/>
      <c r="AB30" s="79" t="str">
        <f t="shared" si="224"/>
        <v/>
      </c>
      <c r="AC30" s="48"/>
      <c r="AD30" s="48"/>
      <c r="AE30" s="54">
        <f>IFERROR(AD18/AD$12,0)</f>
        <v>0.5277552958</v>
      </c>
      <c r="AF30" s="48"/>
      <c r="AG30" s="54">
        <f>IFERROR(AF18/AF$12,0)</f>
        <v>0.5481090465</v>
      </c>
      <c r="AH30" s="5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55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8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94"/>
      <c r="BY30" s="97"/>
      <c r="BZ30" s="97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K30" s="97"/>
      <c r="CL30" s="97"/>
      <c r="CM30" s="93"/>
      <c r="CN30" s="93"/>
      <c r="CO30" s="93"/>
      <c r="CP30" s="93"/>
      <c r="CQ30" s="93"/>
      <c r="CR30" s="93"/>
      <c r="CS30" s="93"/>
      <c r="CT30" s="93"/>
      <c r="CU30" s="93"/>
      <c r="CV30" s="93"/>
      <c r="CW30" s="93"/>
      <c r="CX30" s="93"/>
      <c r="CY30" s="93"/>
      <c r="CZ30" s="11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"/>
      <c r="DO30" s="1"/>
      <c r="DP30" s="1"/>
      <c r="DQ30" s="1"/>
    </row>
    <row r="31" ht="3.75" customHeight="1" outlineLevel="1">
      <c r="A31" s="1"/>
      <c r="B31" s="98"/>
      <c r="C31" s="99"/>
      <c r="D31" s="81"/>
      <c r="E31" s="6"/>
      <c r="F31" s="6"/>
      <c r="G31" s="6"/>
      <c r="H31" s="100"/>
      <c r="I31" s="101"/>
      <c r="J31" s="101"/>
      <c r="K31" s="101"/>
      <c r="L31" s="101"/>
      <c r="M31" s="101"/>
      <c r="N31" s="101"/>
      <c r="O31" s="100"/>
      <c r="P31" s="81"/>
      <c r="Q31" s="47"/>
      <c r="R31" s="47"/>
      <c r="S31" s="100"/>
      <c r="T31" s="101"/>
      <c r="U31" s="101"/>
      <c r="V31" s="101"/>
      <c r="W31" s="101"/>
      <c r="X31" s="100"/>
      <c r="Y31" s="81"/>
      <c r="Z31" s="81"/>
      <c r="AA31" s="81"/>
      <c r="AB31" s="81"/>
      <c r="AC31" s="100"/>
      <c r="AD31" s="101"/>
      <c r="AE31" s="101"/>
      <c r="AF31" s="101"/>
      <c r="AG31" s="101"/>
      <c r="AH31" s="80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55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80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11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"/>
      <c r="DO31" s="1"/>
      <c r="DP31" s="1"/>
      <c r="DQ31" s="1"/>
    </row>
    <row r="32">
      <c r="A32" s="1"/>
      <c r="B32" s="102"/>
      <c r="C32" s="102"/>
      <c r="D32" s="103"/>
      <c r="E32" s="103"/>
      <c r="F32" s="103"/>
      <c r="G32" s="103"/>
      <c r="H32" s="103"/>
      <c r="I32" s="104"/>
      <c r="J32" s="104"/>
      <c r="K32" s="104"/>
      <c r="L32" s="104"/>
      <c r="M32" s="104"/>
      <c r="N32" s="104"/>
      <c r="O32" s="103"/>
      <c r="P32" s="103"/>
      <c r="Q32" s="103"/>
      <c r="R32" s="103"/>
      <c r="S32" s="103"/>
      <c r="T32" s="104"/>
      <c r="U32" s="104"/>
      <c r="V32" s="104"/>
      <c r="W32" s="104"/>
      <c r="X32" s="103"/>
      <c r="Y32" s="103"/>
      <c r="Z32" s="103"/>
      <c r="AA32" s="103"/>
      <c r="AB32" s="103"/>
      <c r="AC32" s="103"/>
      <c r="AD32" s="104"/>
      <c r="AE32" s="104"/>
      <c r="AF32" s="104"/>
      <c r="AG32" s="104"/>
      <c r="AH32" s="56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55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56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05"/>
      <c r="CN32" s="105"/>
      <c r="CO32" s="105"/>
      <c r="CP32" s="105"/>
      <c r="CQ32" s="105"/>
      <c r="CR32" s="105"/>
      <c r="CS32" s="105"/>
      <c r="CT32" s="105"/>
      <c r="CU32" s="105"/>
      <c r="CV32" s="105"/>
      <c r="CW32" s="105"/>
      <c r="CX32" s="105"/>
      <c r="CY32" s="105"/>
      <c r="CZ32" s="11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"/>
      <c r="DO32" s="1"/>
      <c r="DP32" s="1"/>
      <c r="DQ32" s="1"/>
    </row>
    <row r="33">
      <c r="A33" s="106">
        <v>16.0</v>
      </c>
      <c r="B33" s="107" t="str">
        <f>B2</f>
        <v>Sandriver Mara Eco Camp</v>
      </c>
      <c r="C33" s="108"/>
      <c r="D33" s="109">
        <f>$A$33</f>
        <v>16</v>
      </c>
      <c r="E33" s="110">
        <f t="shared" ref="E33:G33" si="225">$D$33</f>
        <v>16</v>
      </c>
      <c r="F33" s="110">
        <f t="shared" si="225"/>
        <v>16</v>
      </c>
      <c r="G33" s="110">
        <f t="shared" si="225"/>
        <v>16</v>
      </c>
      <c r="H33" s="103"/>
      <c r="I33" s="104"/>
      <c r="J33" s="104"/>
      <c r="K33" s="104"/>
      <c r="L33" s="104"/>
      <c r="M33" s="104"/>
      <c r="N33" s="104"/>
      <c r="O33" s="103"/>
      <c r="P33" s="110">
        <f t="shared" ref="P33:R33" si="226">$D$33</f>
        <v>16</v>
      </c>
      <c r="Q33" s="110">
        <f t="shared" si="226"/>
        <v>16</v>
      </c>
      <c r="R33" s="110">
        <f t="shared" si="226"/>
        <v>16</v>
      </c>
      <c r="S33" s="103"/>
      <c r="T33" s="104"/>
      <c r="U33" s="104"/>
      <c r="V33" s="104"/>
      <c r="W33" s="104"/>
      <c r="X33" s="103"/>
      <c r="Y33" s="110">
        <f t="shared" ref="Y33:AB33" si="227">$D$33</f>
        <v>16</v>
      </c>
      <c r="Z33" s="110">
        <f t="shared" si="227"/>
        <v>16</v>
      </c>
      <c r="AA33" s="110">
        <f t="shared" si="227"/>
        <v>16</v>
      </c>
      <c r="AB33" s="110">
        <f t="shared" si="227"/>
        <v>16</v>
      </c>
      <c r="AC33" s="103"/>
      <c r="AD33" s="104"/>
      <c r="AE33" s="104"/>
      <c r="AF33" s="104"/>
      <c r="AG33" s="104"/>
      <c r="AH33" s="56"/>
      <c r="AI33" s="111">
        <f t="shared" ref="AI33:AU33" si="228">$D$33</f>
        <v>16</v>
      </c>
      <c r="AJ33" s="111">
        <f t="shared" si="228"/>
        <v>16</v>
      </c>
      <c r="AK33" s="111">
        <f t="shared" si="228"/>
        <v>16</v>
      </c>
      <c r="AL33" s="111">
        <f t="shared" si="228"/>
        <v>16</v>
      </c>
      <c r="AM33" s="111">
        <f t="shared" si="228"/>
        <v>16</v>
      </c>
      <c r="AN33" s="111">
        <f t="shared" si="228"/>
        <v>16</v>
      </c>
      <c r="AO33" s="111">
        <f t="shared" si="228"/>
        <v>16</v>
      </c>
      <c r="AP33" s="111">
        <f t="shared" si="228"/>
        <v>16</v>
      </c>
      <c r="AQ33" s="111">
        <f t="shared" si="228"/>
        <v>16</v>
      </c>
      <c r="AR33" s="111">
        <f t="shared" si="228"/>
        <v>16</v>
      </c>
      <c r="AS33" s="111">
        <f t="shared" si="228"/>
        <v>16</v>
      </c>
      <c r="AT33" s="111">
        <f t="shared" si="228"/>
        <v>16</v>
      </c>
      <c r="AU33" s="111">
        <f t="shared" si="228"/>
        <v>16</v>
      </c>
      <c r="AV33" s="55"/>
      <c r="AW33" s="111">
        <f t="shared" ref="AW33:BI33" si="229">$D$33</f>
        <v>16</v>
      </c>
      <c r="AX33" s="111">
        <f t="shared" si="229"/>
        <v>16</v>
      </c>
      <c r="AY33" s="111">
        <f t="shared" si="229"/>
        <v>16</v>
      </c>
      <c r="AZ33" s="111">
        <f t="shared" si="229"/>
        <v>16</v>
      </c>
      <c r="BA33" s="111">
        <f t="shared" si="229"/>
        <v>16</v>
      </c>
      <c r="BB33" s="111">
        <f t="shared" si="229"/>
        <v>16</v>
      </c>
      <c r="BC33" s="111">
        <f t="shared" si="229"/>
        <v>16</v>
      </c>
      <c r="BD33" s="111">
        <f t="shared" si="229"/>
        <v>16</v>
      </c>
      <c r="BE33" s="111">
        <f t="shared" si="229"/>
        <v>16</v>
      </c>
      <c r="BF33" s="111">
        <f t="shared" si="229"/>
        <v>16</v>
      </c>
      <c r="BG33" s="111">
        <f t="shared" si="229"/>
        <v>16</v>
      </c>
      <c r="BH33" s="111">
        <f t="shared" si="229"/>
        <v>16</v>
      </c>
      <c r="BI33" s="111">
        <f t="shared" si="229"/>
        <v>16</v>
      </c>
      <c r="BJ33" s="56"/>
      <c r="BK33" s="112">
        <v>16.0</v>
      </c>
      <c r="BL33" s="112">
        <v>16.0</v>
      </c>
      <c r="BM33" s="112">
        <v>16.0</v>
      </c>
      <c r="BN33" s="112">
        <v>16.0</v>
      </c>
      <c r="BO33" s="112">
        <v>16.0</v>
      </c>
      <c r="BP33" s="112">
        <v>16.0</v>
      </c>
      <c r="BQ33" s="112">
        <v>16.0</v>
      </c>
      <c r="BR33" s="112">
        <v>16.0</v>
      </c>
      <c r="BS33" s="112">
        <v>16.0</v>
      </c>
      <c r="BT33" s="112">
        <v>16.0</v>
      </c>
      <c r="BU33" s="112">
        <v>16.0</v>
      </c>
      <c r="BV33" s="112">
        <v>16.0</v>
      </c>
      <c r="BW33" s="112">
        <v>16.0</v>
      </c>
      <c r="BX33" s="1"/>
      <c r="BY33" s="112">
        <v>16.0</v>
      </c>
      <c r="BZ33" s="112">
        <v>16.0</v>
      </c>
      <c r="CA33" s="112">
        <v>16.0</v>
      </c>
      <c r="CB33" s="112">
        <v>16.0</v>
      </c>
      <c r="CC33" s="112">
        <v>16.0</v>
      </c>
      <c r="CD33" s="112">
        <v>16.0</v>
      </c>
      <c r="CE33" s="112">
        <v>16.0</v>
      </c>
      <c r="CF33" s="112">
        <v>16.0</v>
      </c>
      <c r="CG33" s="112">
        <v>16.0</v>
      </c>
      <c r="CH33" s="112">
        <v>16.0</v>
      </c>
      <c r="CI33" s="112">
        <v>16.0</v>
      </c>
      <c r="CJ33" s="112">
        <v>16.0</v>
      </c>
      <c r="CK33" s="112">
        <v>16.0</v>
      </c>
      <c r="CL33" s="11"/>
      <c r="CM33" s="110"/>
      <c r="CN33" s="110"/>
      <c r="CO33" s="110"/>
      <c r="CP33" s="110"/>
      <c r="CQ33" s="110"/>
      <c r="CR33" s="110"/>
      <c r="CS33" s="110"/>
      <c r="CT33" s="110"/>
      <c r="CU33" s="110"/>
      <c r="CV33" s="110"/>
      <c r="CW33" s="110"/>
      <c r="CX33" s="110"/>
      <c r="CY33" s="113"/>
      <c r="CZ33" s="11"/>
      <c r="DA33" s="111">
        <f t="shared" ref="DA33:DM33" si="230">$A$33</f>
        <v>16</v>
      </c>
      <c r="DB33" s="111">
        <f t="shared" si="230"/>
        <v>16</v>
      </c>
      <c r="DC33" s="111">
        <f t="shared" si="230"/>
        <v>16</v>
      </c>
      <c r="DD33" s="111">
        <f t="shared" si="230"/>
        <v>16</v>
      </c>
      <c r="DE33" s="111">
        <f t="shared" si="230"/>
        <v>16</v>
      </c>
      <c r="DF33" s="111">
        <f t="shared" si="230"/>
        <v>16</v>
      </c>
      <c r="DG33" s="111">
        <f t="shared" si="230"/>
        <v>16</v>
      </c>
      <c r="DH33" s="111">
        <f t="shared" si="230"/>
        <v>16</v>
      </c>
      <c r="DI33" s="111">
        <f t="shared" si="230"/>
        <v>16</v>
      </c>
      <c r="DJ33" s="111">
        <f t="shared" si="230"/>
        <v>16</v>
      </c>
      <c r="DK33" s="111">
        <f t="shared" si="230"/>
        <v>16</v>
      </c>
      <c r="DL33" s="111">
        <f t="shared" si="230"/>
        <v>16</v>
      </c>
      <c r="DM33" s="114">
        <f t="shared" si="230"/>
        <v>16</v>
      </c>
      <c r="DN33" s="1"/>
      <c r="DO33" s="115"/>
      <c r="DP33" s="115"/>
      <c r="DQ33" s="1"/>
    </row>
    <row r="34">
      <c r="A34" s="1"/>
      <c r="B34" s="1"/>
      <c r="C34" s="2"/>
      <c r="D34" s="6"/>
      <c r="E34" s="6"/>
      <c r="F34" s="6"/>
      <c r="G34" s="6"/>
      <c r="H34" s="6"/>
      <c r="I34" s="116"/>
      <c r="J34" s="116"/>
      <c r="K34" s="116"/>
      <c r="L34" s="116"/>
      <c r="M34" s="116"/>
      <c r="N34" s="116"/>
      <c r="O34" s="6"/>
      <c r="P34" s="6"/>
      <c r="Q34" s="6"/>
      <c r="R34" s="6"/>
      <c r="S34" s="6"/>
      <c r="T34" s="116"/>
      <c r="U34" s="116"/>
      <c r="V34" s="116"/>
      <c r="W34" s="116"/>
      <c r="X34" s="6"/>
      <c r="Y34" s="6"/>
      <c r="Z34" s="6"/>
      <c r="AA34" s="6"/>
      <c r="AB34" s="6"/>
      <c r="AC34" s="6"/>
      <c r="AD34" s="116"/>
      <c r="AE34" s="116"/>
      <c r="AF34" s="116"/>
      <c r="AG34" s="116"/>
      <c r="AH34" s="117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7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"/>
      <c r="DO34" s="1"/>
      <c r="DP34" s="1"/>
      <c r="DQ34" s="1"/>
    </row>
    <row r="35">
      <c r="A35" s="105">
        <v>1.0</v>
      </c>
      <c r="B35" s="118" t="s">
        <v>48</v>
      </c>
      <c r="C35" s="15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19"/>
      <c r="AI35" s="120">
        <v>1.0</v>
      </c>
      <c r="AJ35" s="120">
        <f t="shared" ref="AJ35:AT35" si="231">AI35+1</f>
        <v>2</v>
      </c>
      <c r="AK35" s="120">
        <f t="shared" si="231"/>
        <v>3</v>
      </c>
      <c r="AL35" s="120">
        <f t="shared" si="231"/>
        <v>4</v>
      </c>
      <c r="AM35" s="120">
        <f t="shared" si="231"/>
        <v>5</v>
      </c>
      <c r="AN35" s="120">
        <f t="shared" si="231"/>
        <v>6</v>
      </c>
      <c r="AO35" s="120">
        <f t="shared" si="231"/>
        <v>7</v>
      </c>
      <c r="AP35" s="120">
        <f t="shared" si="231"/>
        <v>8</v>
      </c>
      <c r="AQ35" s="120">
        <f t="shared" si="231"/>
        <v>9</v>
      </c>
      <c r="AR35" s="120">
        <f t="shared" si="231"/>
        <v>10</v>
      </c>
      <c r="AS35" s="120">
        <f t="shared" si="231"/>
        <v>11</v>
      </c>
      <c r="AT35" s="120">
        <f t="shared" si="231"/>
        <v>12</v>
      </c>
      <c r="AU35" s="121" t="s">
        <v>49</v>
      </c>
      <c r="AV35" s="11"/>
      <c r="AW35" s="120">
        <v>1.0</v>
      </c>
      <c r="AX35" s="120">
        <f t="shared" ref="AX35:BH35" si="232">AW35+1</f>
        <v>2</v>
      </c>
      <c r="AY35" s="120">
        <f t="shared" si="232"/>
        <v>3</v>
      </c>
      <c r="AZ35" s="120">
        <f t="shared" si="232"/>
        <v>4</v>
      </c>
      <c r="BA35" s="120">
        <f t="shared" si="232"/>
        <v>5</v>
      </c>
      <c r="BB35" s="120">
        <f t="shared" si="232"/>
        <v>6</v>
      </c>
      <c r="BC35" s="120">
        <f t="shared" si="232"/>
        <v>7</v>
      </c>
      <c r="BD35" s="120">
        <f t="shared" si="232"/>
        <v>8</v>
      </c>
      <c r="BE35" s="120">
        <f t="shared" si="232"/>
        <v>9</v>
      </c>
      <c r="BF35" s="120">
        <f t="shared" si="232"/>
        <v>10</v>
      </c>
      <c r="BG35" s="120">
        <f t="shared" si="232"/>
        <v>11</v>
      </c>
      <c r="BH35" s="120">
        <f t="shared" si="232"/>
        <v>12</v>
      </c>
      <c r="BI35" s="121" t="s">
        <v>49</v>
      </c>
      <c r="BJ35" s="119"/>
      <c r="BK35" s="120">
        <v>1.0</v>
      </c>
      <c r="BL35" s="120">
        <f t="shared" ref="BL35:BV35" si="233">BK35+1</f>
        <v>2</v>
      </c>
      <c r="BM35" s="120">
        <f t="shared" si="233"/>
        <v>3</v>
      </c>
      <c r="BN35" s="120">
        <f t="shared" si="233"/>
        <v>4</v>
      </c>
      <c r="BO35" s="120">
        <f t="shared" si="233"/>
        <v>5</v>
      </c>
      <c r="BP35" s="120">
        <f t="shared" si="233"/>
        <v>6</v>
      </c>
      <c r="BQ35" s="120">
        <f t="shared" si="233"/>
        <v>7</v>
      </c>
      <c r="BR35" s="120">
        <f t="shared" si="233"/>
        <v>8</v>
      </c>
      <c r="BS35" s="120">
        <f t="shared" si="233"/>
        <v>9</v>
      </c>
      <c r="BT35" s="120">
        <f t="shared" si="233"/>
        <v>10</v>
      </c>
      <c r="BU35" s="120">
        <f t="shared" si="233"/>
        <v>11</v>
      </c>
      <c r="BV35" s="120">
        <f t="shared" si="233"/>
        <v>12</v>
      </c>
      <c r="BW35" s="121" t="s">
        <v>49</v>
      </c>
      <c r="BX35" s="1"/>
      <c r="BY35" s="122" t="str">
        <f>IFERROR(__xludf.DUMMYFUNCTION("IMPORTRANGE(""https://docs.google.com/spreadsheets/d/1V8IaVwMUPxXd6JggEGDDNiTF6LzvvhVQT1xNNukB_5c/edit?usp=sharing"",""SRM!cm35:cy234"")"),"#REF!")</f>
        <v>#REF!</v>
      </c>
      <c r="BZ35" s="120"/>
      <c r="CA35" s="120"/>
      <c r="CB35" s="120"/>
      <c r="CC35" s="120"/>
      <c r="CD35" s="120"/>
      <c r="CE35" s="120"/>
      <c r="CF35" s="120"/>
      <c r="CG35" s="120"/>
      <c r="CH35" s="120"/>
      <c r="CI35" s="120"/>
      <c r="CJ35" s="120"/>
      <c r="CK35" s="121"/>
      <c r="CL35" s="120"/>
      <c r="CM35" s="120"/>
      <c r="CN35" s="120"/>
      <c r="CO35" s="120"/>
      <c r="CP35" s="120"/>
      <c r="CQ35" s="120"/>
      <c r="CR35" s="120"/>
      <c r="CS35" s="120"/>
      <c r="CT35" s="120"/>
      <c r="CU35" s="120"/>
      <c r="CV35" s="120"/>
      <c r="CW35" s="120"/>
      <c r="CX35" s="120"/>
      <c r="CY35" s="121"/>
      <c r="CZ35" s="11"/>
      <c r="DA35" s="120">
        <v>1.0</v>
      </c>
      <c r="DB35" s="120">
        <v>2.0</v>
      </c>
      <c r="DC35" s="120">
        <v>3.0</v>
      </c>
      <c r="DD35" s="120">
        <v>4.0</v>
      </c>
      <c r="DE35" s="120">
        <v>5.0</v>
      </c>
      <c r="DF35" s="120">
        <v>6.0</v>
      </c>
      <c r="DG35" s="120">
        <v>7.0</v>
      </c>
      <c r="DH35" s="120">
        <v>8.0</v>
      </c>
      <c r="DI35" s="120">
        <v>9.0</v>
      </c>
      <c r="DJ35" s="120">
        <v>10.0</v>
      </c>
      <c r="DK35" s="120">
        <v>11.0</v>
      </c>
      <c r="DL35" s="120">
        <v>12.0</v>
      </c>
      <c r="DM35" s="121" t="s">
        <v>49</v>
      </c>
      <c r="DN35" s="1"/>
      <c r="DO35" s="1"/>
      <c r="DP35" s="1"/>
      <c r="DQ35" s="1"/>
    </row>
    <row r="36" outlineLevel="1">
      <c r="A36" s="15"/>
      <c r="B36" s="123" t="s">
        <v>50</v>
      </c>
      <c r="C36" s="124"/>
      <c r="D36" s="47">
        <f t="shared" ref="D36:D41" si="236">SUMIFS($CM36:$CX36,$CM$35:$CX$35,$D$2)</f>
        <v>0</v>
      </c>
      <c r="E36" s="47">
        <f t="shared" ref="E36:E41" si="237">SUMIFS($DA36:$DM36,$DA$35:$DM$35,$D$2)</f>
        <v>0</v>
      </c>
      <c r="F36" s="47">
        <f t="shared" ref="F36:F41" si="238">SUMIFS($BK36:$BV36,$BK$35:$BV$35,$D$2)</f>
        <v>480</v>
      </c>
      <c r="G36" s="47">
        <f t="shared" ref="G36:G41" si="239">SUMIFS($BY36:$CJ36,$BY$35:$CJ$35,$D$2)</f>
        <v>0</v>
      </c>
      <c r="H36" s="48"/>
      <c r="I36" s="66">
        <f t="shared" ref="I36:I54" si="240">D36-E36</f>
        <v>0</v>
      </c>
      <c r="J36" s="67">
        <f t="shared" ref="J36:J54" si="241">IFERROR(I36/(E36),0)</f>
        <v>0</v>
      </c>
      <c r="K36" s="66">
        <f t="shared" ref="K36:K54" si="242">D36-F36</f>
        <v>-480</v>
      </c>
      <c r="L36" s="67">
        <f t="shared" ref="L36:L54" si="243">IFERROR(K36/(F36),0)</f>
        <v>-1</v>
      </c>
      <c r="M36" s="66">
        <f t="shared" ref="M36:M54" si="244">D36-G36</f>
        <v>0</v>
      </c>
      <c r="N36" s="67">
        <f t="shared" ref="N36:N54" si="245">IFERROR(M36/G36,0)</f>
        <v>0</v>
      </c>
      <c r="O36" s="48"/>
      <c r="P36" s="47">
        <f t="shared" ref="P36:P41" si="246">SUMIFS($CM36:$CX36,$CM$35:$CX$35,$P$2)</f>
        <v>0</v>
      </c>
      <c r="Q36" s="47">
        <f t="shared" ref="Q36:Q41" si="247">SUMIFS($BK36:$BV36,$BK$35:$BV$35,$P$2)</f>
        <v>2896</v>
      </c>
      <c r="R36" s="47">
        <f t="shared" ref="R36:R41" si="248">SUMIFS($BY36:$CJ36,$BY$35:$CJ$35,$P$2)</f>
        <v>0</v>
      </c>
      <c r="S36" s="48"/>
      <c r="T36" s="66">
        <f t="shared" ref="T36:T54" si="249">P36-Q36</f>
        <v>-2896</v>
      </c>
      <c r="U36" s="67">
        <f t="shared" ref="U36:U54" si="250">IFERROR(T36/Q36,0)</f>
        <v>-1</v>
      </c>
      <c r="V36" s="66">
        <f t="shared" ref="V36:V54" si="251">P36-R36</f>
        <v>0</v>
      </c>
      <c r="W36" s="67">
        <f t="shared" ref="W36:W54" si="252">IFERROR(V36/R36,0)</f>
        <v>0</v>
      </c>
      <c r="X36" s="48"/>
      <c r="Y36" s="47">
        <f t="shared" ref="Y36:Y41" si="253">$AU36</f>
        <v>1472</v>
      </c>
      <c r="Z36" s="47">
        <f t="shared" ref="Z36:Z41" si="254">$BI36</f>
        <v>2944</v>
      </c>
      <c r="AA36" s="47">
        <f t="shared" ref="AA36:AA41" si="255">$BW36</f>
        <v>5840</v>
      </c>
      <c r="AB36" s="95" t="str">
        <f t="shared" ref="AB36:AB41" si="256">$CK36</f>
        <v/>
      </c>
      <c r="AC36" s="125"/>
      <c r="AD36" s="66">
        <f t="shared" ref="AD36:AD54" si="257">Y36-AA36</f>
        <v>-4368</v>
      </c>
      <c r="AE36" s="67">
        <f t="shared" ref="AE36:AE54" si="258">IFERROR(AD36/AA36,0)</f>
        <v>-0.7479452055</v>
      </c>
      <c r="AF36" s="66">
        <f t="shared" ref="AF36:AF54" si="259">Y36-AB36</f>
        <v>1472</v>
      </c>
      <c r="AG36" s="67">
        <f t="shared" ref="AG36:AG54" si="260">IFERROR(AF36/AB36,0)</f>
        <v>0</v>
      </c>
      <c r="AH36" s="126"/>
      <c r="AI36" s="47" t="str">
        <f t="shared" ref="AI36:AI41" si="261">IFERROR(IF(AI$3="A",CM36,IF(AI$3="F",DA36)),0)</f>
        <v/>
      </c>
      <c r="AJ36" s="47" t="str">
        <f t="shared" ref="AJ36:AT36" si="234">IFERROR(IF(AJ$3="A",CN36,IF(AJ$3="F",DB36,IF(AJ$3="B",BL36,0))),"")</f>
        <v/>
      </c>
      <c r="AK36" s="47" t="str">
        <f t="shared" si="234"/>
        <v/>
      </c>
      <c r="AL36" s="47" t="str">
        <f t="shared" si="234"/>
        <v/>
      </c>
      <c r="AM36" s="47" t="str">
        <f t="shared" si="234"/>
        <v/>
      </c>
      <c r="AN36" s="47" t="str">
        <f t="shared" si="234"/>
        <v/>
      </c>
      <c r="AO36" s="47" t="str">
        <f t="shared" si="234"/>
        <v/>
      </c>
      <c r="AP36" s="47" t="str">
        <f t="shared" si="234"/>
        <v/>
      </c>
      <c r="AQ36" s="47" t="str">
        <f t="shared" si="234"/>
        <v/>
      </c>
      <c r="AR36" s="47">
        <f t="shared" si="234"/>
        <v>496</v>
      </c>
      <c r="AS36" s="47">
        <f t="shared" si="234"/>
        <v>480</v>
      </c>
      <c r="AT36" s="47">
        <f t="shared" si="234"/>
        <v>496</v>
      </c>
      <c r="AU36" s="65">
        <f t="shared" ref="AU36:AU41" si="263">SUM(AI36:AT36)</f>
        <v>1472</v>
      </c>
      <c r="AV36" s="127"/>
      <c r="AW36" s="47" t="str">
        <f t="shared" ref="AW36:BH36" si="235">IFERROR(IF(AW$3="A",CM36,IF(AW$3="B",BK36)),0)</f>
        <v/>
      </c>
      <c r="AX36" s="47" t="str">
        <f t="shared" si="235"/>
        <v/>
      </c>
      <c r="AY36" s="47" t="str">
        <f t="shared" si="235"/>
        <v/>
      </c>
      <c r="AZ36" s="47" t="str">
        <f t="shared" si="235"/>
        <v/>
      </c>
      <c r="BA36" s="47" t="str">
        <f t="shared" si="235"/>
        <v/>
      </c>
      <c r="BB36" s="47" t="str">
        <f t="shared" si="235"/>
        <v/>
      </c>
      <c r="BC36" s="47">
        <f t="shared" si="235"/>
        <v>496</v>
      </c>
      <c r="BD36" s="47">
        <f t="shared" si="235"/>
        <v>496</v>
      </c>
      <c r="BE36" s="47">
        <f t="shared" si="235"/>
        <v>480</v>
      </c>
      <c r="BF36" s="47">
        <f t="shared" si="235"/>
        <v>496</v>
      </c>
      <c r="BG36" s="47">
        <f t="shared" si="235"/>
        <v>480</v>
      </c>
      <c r="BH36" s="47">
        <f t="shared" si="235"/>
        <v>496</v>
      </c>
      <c r="BI36" s="65">
        <f t="shared" ref="BI36:BI41" si="265">SUM(AW36:BH36)</f>
        <v>2944</v>
      </c>
      <c r="BJ36" s="126"/>
      <c r="BK36" s="128">
        <v>496.0</v>
      </c>
      <c r="BL36" s="128">
        <v>448.0</v>
      </c>
      <c r="BM36" s="128">
        <v>496.0</v>
      </c>
      <c r="BN36" s="128">
        <v>480.0</v>
      </c>
      <c r="BO36" s="128">
        <v>496.0</v>
      </c>
      <c r="BP36" s="128">
        <v>480.0</v>
      </c>
      <c r="BQ36" s="128">
        <v>496.0</v>
      </c>
      <c r="BR36" s="128">
        <v>496.0</v>
      </c>
      <c r="BS36" s="128">
        <v>480.0</v>
      </c>
      <c r="BT36" s="128">
        <v>496.0</v>
      </c>
      <c r="BU36" s="128">
        <v>480.0</v>
      </c>
      <c r="BV36" s="128">
        <v>496.0</v>
      </c>
      <c r="BW36" s="129">
        <v>5840.0</v>
      </c>
      <c r="BX36" s="1"/>
      <c r="BY36" s="47"/>
      <c r="BZ36" s="47"/>
      <c r="CA36" s="47"/>
      <c r="CB36" s="47"/>
      <c r="CC36" s="47"/>
      <c r="CD36" s="47"/>
      <c r="CE36" s="47"/>
      <c r="CF36" s="47"/>
      <c r="CG36" s="47"/>
      <c r="CH36" s="47"/>
      <c r="CI36" s="47"/>
      <c r="CJ36" s="47"/>
      <c r="CK36" s="65"/>
      <c r="CL36" s="47"/>
      <c r="CM36" s="47"/>
      <c r="CN36" s="47"/>
      <c r="CO36" s="47"/>
      <c r="CP36" s="47"/>
      <c r="CQ36" s="47"/>
      <c r="CR36" s="47"/>
      <c r="CS36" s="47"/>
      <c r="CT36" s="47"/>
      <c r="CU36" s="47"/>
      <c r="CV36" s="47"/>
      <c r="CW36" s="47"/>
      <c r="CX36" s="47"/>
      <c r="CY36" s="65"/>
      <c r="CZ36" s="11"/>
      <c r="DA36" s="47">
        <f t="shared" ref="DA36:DA41" si="266">BK36</f>
        <v>496</v>
      </c>
      <c r="DB36" s="122" t="str">
        <f>IFERROR(__xludf.DUMMYFUNCTION("IMPORTRANGE(""https://docs.google.com/spreadsheets/d/1uPWNufMEGSTfJLF4XVNmJ0hVytxBzPAgfhkjds-sXYE/edit?usp=sharing"",""SRM!DB36:DL283"")"),"#REF!")</f>
        <v>#REF!</v>
      </c>
      <c r="DC36" s="47"/>
      <c r="DD36" s="47"/>
      <c r="DE36" s="47"/>
      <c r="DF36" s="47"/>
      <c r="DG36" s="47"/>
      <c r="DH36" s="47"/>
      <c r="DI36" s="47"/>
      <c r="DJ36" s="47"/>
      <c r="DK36" s="47"/>
      <c r="DL36" s="47"/>
      <c r="DM36" s="65" t="str">
        <f t="shared" ref="DM36:DM41" si="267">SUM(DA36:DL36)</f>
        <v>#REF!</v>
      </c>
      <c r="DN36" s="1"/>
      <c r="DO36" s="130"/>
      <c r="DP36" s="130"/>
      <c r="DQ36" s="131"/>
    </row>
    <row r="37" outlineLevel="2">
      <c r="A37" s="15"/>
      <c r="B37" s="123" t="s">
        <v>51</v>
      </c>
      <c r="C37" s="124"/>
      <c r="D37" s="47">
        <f t="shared" si="236"/>
        <v>0</v>
      </c>
      <c r="E37" s="47">
        <f t="shared" si="237"/>
        <v>0</v>
      </c>
      <c r="F37" s="47">
        <f t="shared" si="238"/>
        <v>214.5</v>
      </c>
      <c r="G37" s="47">
        <f t="shared" si="239"/>
        <v>0</v>
      </c>
      <c r="H37" s="48"/>
      <c r="I37" s="66">
        <f t="shared" si="240"/>
        <v>0</v>
      </c>
      <c r="J37" s="67">
        <f t="shared" si="241"/>
        <v>0</v>
      </c>
      <c r="K37" s="66">
        <f t="shared" si="242"/>
        <v>-214.5</v>
      </c>
      <c r="L37" s="67">
        <f t="shared" si="243"/>
        <v>-1</v>
      </c>
      <c r="M37" s="66">
        <f t="shared" si="244"/>
        <v>0</v>
      </c>
      <c r="N37" s="67">
        <f t="shared" si="245"/>
        <v>0</v>
      </c>
      <c r="O37" s="48"/>
      <c r="P37" s="47">
        <f t="shared" si="246"/>
        <v>0</v>
      </c>
      <c r="Q37" s="47">
        <f t="shared" si="247"/>
        <v>1180.2132</v>
      </c>
      <c r="R37" s="47">
        <f t="shared" si="248"/>
        <v>0</v>
      </c>
      <c r="S37" s="48"/>
      <c r="T37" s="66">
        <f t="shared" si="249"/>
        <v>-1180.2132</v>
      </c>
      <c r="U37" s="67">
        <f t="shared" si="250"/>
        <v>-1</v>
      </c>
      <c r="V37" s="66">
        <f t="shared" si="251"/>
        <v>0</v>
      </c>
      <c r="W37" s="67">
        <f t="shared" si="252"/>
        <v>0</v>
      </c>
      <c r="X37" s="48"/>
      <c r="Y37" s="47">
        <f t="shared" si="253"/>
        <v>829.9886</v>
      </c>
      <c r="Z37" s="47">
        <f t="shared" si="254"/>
        <v>1996.1046</v>
      </c>
      <c r="AA37" s="47">
        <f t="shared" si="255"/>
        <v>3176.3179</v>
      </c>
      <c r="AB37" s="95" t="str">
        <f t="shared" si="256"/>
        <v/>
      </c>
      <c r="AC37" s="125"/>
      <c r="AD37" s="66">
        <f t="shared" si="257"/>
        <v>-2346.3293</v>
      </c>
      <c r="AE37" s="67">
        <f t="shared" si="258"/>
        <v>-0.738694732</v>
      </c>
      <c r="AF37" s="66">
        <f t="shared" si="259"/>
        <v>829.9886</v>
      </c>
      <c r="AG37" s="67">
        <f t="shared" si="260"/>
        <v>0</v>
      </c>
      <c r="AH37" s="126"/>
      <c r="AI37" s="47" t="str">
        <f t="shared" si="261"/>
        <v/>
      </c>
      <c r="AJ37" s="47" t="str">
        <f t="shared" ref="AJ37:AT37" si="262">IFERROR(IF(AJ$3="A",CN37,IF(AJ$3="F",DB37,IF(AJ$3="B",BL37,0))),"")</f>
        <v/>
      </c>
      <c r="AK37" s="47" t="str">
        <f t="shared" si="262"/>
        <v/>
      </c>
      <c r="AL37" s="47" t="str">
        <f t="shared" si="262"/>
        <v/>
      </c>
      <c r="AM37" s="47" t="str">
        <f t="shared" si="262"/>
        <v/>
      </c>
      <c r="AN37" s="47" t="str">
        <f t="shared" si="262"/>
        <v/>
      </c>
      <c r="AO37" s="47" t="str">
        <f t="shared" si="262"/>
        <v/>
      </c>
      <c r="AP37" s="47" t="str">
        <f t="shared" si="262"/>
        <v/>
      </c>
      <c r="AQ37" s="47" t="str">
        <f t="shared" si="262"/>
        <v/>
      </c>
      <c r="AR37" s="47">
        <f t="shared" si="262"/>
        <v>381.9886</v>
      </c>
      <c r="AS37" s="47">
        <f t="shared" si="262"/>
        <v>213</v>
      </c>
      <c r="AT37" s="47">
        <f t="shared" si="262"/>
        <v>235</v>
      </c>
      <c r="AU37" s="65">
        <f t="shared" si="263"/>
        <v>829.9886</v>
      </c>
      <c r="AV37" s="127"/>
      <c r="AW37" s="47" t="str">
        <f t="shared" ref="AW37:BH37" si="264">IFERROR(IF(AW$3="A",CM37,IF(AW$3="B",BK37)),0)</f>
        <v/>
      </c>
      <c r="AX37" s="47" t="str">
        <f t="shared" si="264"/>
        <v/>
      </c>
      <c r="AY37" s="47" t="str">
        <f t="shared" si="264"/>
        <v/>
      </c>
      <c r="AZ37" s="47" t="str">
        <f t="shared" si="264"/>
        <v/>
      </c>
      <c r="BA37" s="47" t="str">
        <f t="shared" si="264"/>
        <v/>
      </c>
      <c r="BB37" s="47" t="str">
        <f t="shared" si="264"/>
        <v/>
      </c>
      <c r="BC37" s="47">
        <f t="shared" si="264"/>
        <v>390.0283</v>
      </c>
      <c r="BD37" s="47">
        <f t="shared" si="264"/>
        <v>427.2611</v>
      </c>
      <c r="BE37" s="47">
        <f t="shared" si="264"/>
        <v>348.8266</v>
      </c>
      <c r="BF37" s="47">
        <f t="shared" si="264"/>
        <v>381.9886</v>
      </c>
      <c r="BG37" s="47">
        <f t="shared" si="264"/>
        <v>213</v>
      </c>
      <c r="BH37" s="47">
        <f t="shared" si="264"/>
        <v>235</v>
      </c>
      <c r="BI37" s="65">
        <f t="shared" si="265"/>
        <v>1996.1046</v>
      </c>
      <c r="BJ37" s="126"/>
      <c r="BK37" s="128">
        <v>223.0468</v>
      </c>
      <c r="BL37" s="128">
        <v>223.6208</v>
      </c>
      <c r="BM37" s="128">
        <v>157.8122</v>
      </c>
      <c r="BN37" s="128">
        <v>140.1709</v>
      </c>
      <c r="BO37" s="128">
        <v>221.0625</v>
      </c>
      <c r="BP37" s="128">
        <v>214.5</v>
      </c>
      <c r="BQ37" s="128">
        <v>390.0283</v>
      </c>
      <c r="BR37" s="128">
        <v>427.2611</v>
      </c>
      <c r="BS37" s="128">
        <v>348.8266</v>
      </c>
      <c r="BT37" s="128">
        <v>381.9886</v>
      </c>
      <c r="BU37" s="128">
        <v>213.0</v>
      </c>
      <c r="BV37" s="128">
        <v>235.0</v>
      </c>
      <c r="BW37" s="129">
        <v>3176.3179</v>
      </c>
      <c r="BX37" s="1"/>
      <c r="BY37" s="47"/>
      <c r="BZ37" s="47"/>
      <c r="CA37" s="47"/>
      <c r="CB37" s="47"/>
      <c r="CC37" s="47"/>
      <c r="CD37" s="47"/>
      <c r="CE37" s="47"/>
      <c r="CF37" s="47"/>
      <c r="CG37" s="47"/>
      <c r="CH37" s="47"/>
      <c r="CI37" s="47"/>
      <c r="CJ37" s="47"/>
      <c r="CK37" s="65"/>
      <c r="CL37" s="47"/>
      <c r="CM37" s="47"/>
      <c r="CN37" s="47"/>
      <c r="CO37" s="47"/>
      <c r="CP37" s="47"/>
      <c r="CQ37" s="47"/>
      <c r="CR37" s="47"/>
      <c r="CS37" s="47"/>
      <c r="CT37" s="47"/>
      <c r="CU37" s="47"/>
      <c r="CV37" s="47"/>
      <c r="CW37" s="47"/>
      <c r="CX37" s="47"/>
      <c r="CY37" s="65"/>
      <c r="CZ37" s="11"/>
      <c r="DA37" s="47">
        <f t="shared" si="266"/>
        <v>223.0468</v>
      </c>
      <c r="DB37" s="47"/>
      <c r="DC37" s="47"/>
      <c r="DD37" s="47"/>
      <c r="DE37" s="47"/>
      <c r="DF37" s="47"/>
      <c r="DG37" s="47"/>
      <c r="DH37" s="47"/>
      <c r="DI37" s="47"/>
      <c r="DJ37" s="47"/>
      <c r="DK37" s="47"/>
      <c r="DL37" s="47"/>
      <c r="DM37" s="65">
        <f t="shared" si="267"/>
        <v>223.0468</v>
      </c>
      <c r="DN37" s="1"/>
      <c r="DO37" s="130"/>
      <c r="DP37" s="130"/>
      <c r="DQ37" s="131"/>
    </row>
    <row r="38" outlineLevel="2">
      <c r="A38" s="15"/>
      <c r="B38" s="123" t="s">
        <v>52</v>
      </c>
      <c r="C38" s="124"/>
      <c r="D38" s="47">
        <f t="shared" si="236"/>
        <v>0</v>
      </c>
      <c r="E38" s="47">
        <f t="shared" si="237"/>
        <v>0</v>
      </c>
      <c r="F38" s="47">
        <f t="shared" si="238"/>
        <v>82.5</v>
      </c>
      <c r="G38" s="47">
        <f t="shared" si="239"/>
        <v>0</v>
      </c>
      <c r="H38" s="48"/>
      <c r="I38" s="66">
        <f t="shared" si="240"/>
        <v>0</v>
      </c>
      <c r="J38" s="67">
        <f t="shared" si="241"/>
        <v>0</v>
      </c>
      <c r="K38" s="66">
        <f t="shared" si="242"/>
        <v>-82.5</v>
      </c>
      <c r="L38" s="67">
        <f t="shared" si="243"/>
        <v>-1</v>
      </c>
      <c r="M38" s="66">
        <f t="shared" si="244"/>
        <v>0</v>
      </c>
      <c r="N38" s="67">
        <f t="shared" si="245"/>
        <v>0</v>
      </c>
      <c r="O38" s="48"/>
      <c r="P38" s="47">
        <f t="shared" si="246"/>
        <v>0</v>
      </c>
      <c r="Q38" s="47">
        <f t="shared" si="247"/>
        <v>336.7868</v>
      </c>
      <c r="R38" s="47">
        <f t="shared" si="248"/>
        <v>0</v>
      </c>
      <c r="S38" s="48"/>
      <c r="T38" s="66">
        <f t="shared" si="249"/>
        <v>-336.7868</v>
      </c>
      <c r="U38" s="67">
        <f t="shared" si="250"/>
        <v>-1</v>
      </c>
      <c r="V38" s="66">
        <f t="shared" si="251"/>
        <v>0</v>
      </c>
      <c r="W38" s="67">
        <f t="shared" si="252"/>
        <v>0</v>
      </c>
      <c r="X38" s="48"/>
      <c r="Y38" s="47">
        <f t="shared" si="253"/>
        <v>48.0114</v>
      </c>
      <c r="Z38" s="47">
        <f t="shared" si="254"/>
        <v>252.8954</v>
      </c>
      <c r="AA38" s="47">
        <f t="shared" si="255"/>
        <v>589.6821</v>
      </c>
      <c r="AB38" s="95" t="str">
        <f t="shared" si="256"/>
        <v/>
      </c>
      <c r="AC38" s="125"/>
      <c r="AD38" s="66">
        <f t="shared" si="257"/>
        <v>-541.6707</v>
      </c>
      <c r="AE38" s="67">
        <f t="shared" si="258"/>
        <v>-0.918580876</v>
      </c>
      <c r="AF38" s="66">
        <f t="shared" si="259"/>
        <v>48.0114</v>
      </c>
      <c r="AG38" s="67">
        <f t="shared" si="260"/>
        <v>0</v>
      </c>
      <c r="AH38" s="126"/>
      <c r="AI38" s="47" t="str">
        <f t="shared" si="261"/>
        <v/>
      </c>
      <c r="AJ38" s="47" t="str">
        <f t="shared" ref="AJ38:AT38" si="268">IFERROR(IF(AJ$3="A",CN38,IF(AJ$3="F",DB38,IF(AJ$3="B",BL38,0))),"")</f>
        <v/>
      </c>
      <c r="AK38" s="47" t="str">
        <f t="shared" si="268"/>
        <v/>
      </c>
      <c r="AL38" s="47" t="str">
        <f t="shared" si="268"/>
        <v/>
      </c>
      <c r="AM38" s="47" t="str">
        <f t="shared" si="268"/>
        <v/>
      </c>
      <c r="AN38" s="47" t="str">
        <f t="shared" si="268"/>
        <v/>
      </c>
      <c r="AO38" s="47" t="str">
        <f t="shared" si="268"/>
        <v/>
      </c>
      <c r="AP38" s="47" t="str">
        <f t="shared" si="268"/>
        <v/>
      </c>
      <c r="AQ38" s="47" t="str">
        <f t="shared" si="268"/>
        <v/>
      </c>
      <c r="AR38" s="47">
        <f t="shared" si="268"/>
        <v>33.0114</v>
      </c>
      <c r="AS38" s="47">
        <f t="shared" si="268"/>
        <v>15</v>
      </c>
      <c r="AT38" s="47">
        <f t="shared" si="268"/>
        <v>0</v>
      </c>
      <c r="AU38" s="65">
        <f t="shared" si="263"/>
        <v>48.0114</v>
      </c>
      <c r="AV38" s="127"/>
      <c r="AW38" s="47" t="str">
        <f t="shared" ref="AW38:BH38" si="269">IFERROR(IF(AW$3="A",CM38,IF(AW$3="B",BK38)),0)</f>
        <v/>
      </c>
      <c r="AX38" s="47" t="str">
        <f t="shared" si="269"/>
        <v/>
      </c>
      <c r="AY38" s="47" t="str">
        <f t="shared" si="269"/>
        <v/>
      </c>
      <c r="AZ38" s="47" t="str">
        <f t="shared" si="269"/>
        <v/>
      </c>
      <c r="BA38" s="47" t="str">
        <f t="shared" si="269"/>
        <v/>
      </c>
      <c r="BB38" s="47" t="str">
        <f t="shared" si="269"/>
        <v/>
      </c>
      <c r="BC38" s="47">
        <f t="shared" si="269"/>
        <v>90.9717</v>
      </c>
      <c r="BD38" s="47">
        <f t="shared" si="269"/>
        <v>40.7389</v>
      </c>
      <c r="BE38" s="47">
        <f t="shared" si="269"/>
        <v>73.1734</v>
      </c>
      <c r="BF38" s="47">
        <f t="shared" si="269"/>
        <v>33.0114</v>
      </c>
      <c r="BG38" s="47">
        <f t="shared" si="269"/>
        <v>15</v>
      </c>
      <c r="BH38" s="47">
        <f t="shared" si="269"/>
        <v>0</v>
      </c>
      <c r="BI38" s="65">
        <f t="shared" si="265"/>
        <v>252.8954</v>
      </c>
      <c r="BJ38" s="126"/>
      <c r="BK38" s="128">
        <v>49.9532</v>
      </c>
      <c r="BL38" s="128">
        <v>63.3792</v>
      </c>
      <c r="BM38" s="128">
        <v>35.1878</v>
      </c>
      <c r="BN38" s="128">
        <v>64.8291</v>
      </c>
      <c r="BO38" s="128">
        <v>40.9375</v>
      </c>
      <c r="BP38" s="128">
        <v>82.5</v>
      </c>
      <c r="BQ38" s="128">
        <v>90.9717</v>
      </c>
      <c r="BR38" s="128">
        <v>40.7389</v>
      </c>
      <c r="BS38" s="128">
        <v>73.1734</v>
      </c>
      <c r="BT38" s="128">
        <v>33.0114</v>
      </c>
      <c r="BU38" s="128">
        <v>15.0</v>
      </c>
      <c r="BV38" s="128">
        <v>0.0</v>
      </c>
      <c r="BW38" s="129">
        <v>589.6821</v>
      </c>
      <c r="BX38" s="1"/>
      <c r="BY38" s="47"/>
      <c r="BZ38" s="47"/>
      <c r="CA38" s="47"/>
      <c r="CB38" s="47"/>
      <c r="CC38" s="47"/>
      <c r="CD38" s="47"/>
      <c r="CE38" s="47"/>
      <c r="CF38" s="47"/>
      <c r="CG38" s="47"/>
      <c r="CH38" s="47"/>
      <c r="CI38" s="47"/>
      <c r="CJ38" s="47"/>
      <c r="CK38" s="65"/>
      <c r="CL38" s="47"/>
      <c r="CM38" s="47"/>
      <c r="CN38" s="47"/>
      <c r="CO38" s="47"/>
      <c r="CP38" s="47"/>
      <c r="CQ38" s="47"/>
      <c r="CR38" s="47"/>
      <c r="CS38" s="47"/>
      <c r="CT38" s="47"/>
      <c r="CU38" s="47"/>
      <c r="CV38" s="47"/>
      <c r="CW38" s="47"/>
      <c r="CX38" s="47"/>
      <c r="CY38" s="65"/>
      <c r="CZ38" s="11"/>
      <c r="DA38" s="47">
        <f t="shared" si="266"/>
        <v>49.9532</v>
      </c>
      <c r="DB38" s="47"/>
      <c r="DC38" s="47"/>
      <c r="DD38" s="47"/>
      <c r="DE38" s="47"/>
      <c r="DF38" s="47"/>
      <c r="DG38" s="47"/>
      <c r="DH38" s="47"/>
      <c r="DI38" s="47"/>
      <c r="DJ38" s="47"/>
      <c r="DK38" s="47"/>
      <c r="DL38" s="47"/>
      <c r="DM38" s="65">
        <f t="shared" si="267"/>
        <v>49.9532</v>
      </c>
      <c r="DN38" s="1"/>
      <c r="DO38" s="130"/>
      <c r="DP38" s="130"/>
      <c r="DQ38" s="131"/>
    </row>
    <row r="39" outlineLevel="2">
      <c r="A39" s="15"/>
      <c r="B39" s="123" t="s">
        <v>53</v>
      </c>
      <c r="C39" s="124"/>
      <c r="D39" s="47">
        <f t="shared" si="236"/>
        <v>0</v>
      </c>
      <c r="E39" s="47">
        <f t="shared" si="237"/>
        <v>0</v>
      </c>
      <c r="F39" s="47">
        <f t="shared" si="238"/>
        <v>0</v>
      </c>
      <c r="G39" s="47">
        <f t="shared" si="239"/>
        <v>0</v>
      </c>
      <c r="H39" s="48"/>
      <c r="I39" s="66">
        <f t="shared" si="240"/>
        <v>0</v>
      </c>
      <c r="J39" s="67">
        <f t="shared" si="241"/>
        <v>0</v>
      </c>
      <c r="K39" s="66">
        <f t="shared" si="242"/>
        <v>0</v>
      </c>
      <c r="L39" s="67">
        <f t="shared" si="243"/>
        <v>0</v>
      </c>
      <c r="M39" s="66">
        <f t="shared" si="244"/>
        <v>0</v>
      </c>
      <c r="N39" s="67">
        <f t="shared" si="245"/>
        <v>0</v>
      </c>
      <c r="O39" s="48"/>
      <c r="P39" s="47">
        <f t="shared" si="246"/>
        <v>0</v>
      </c>
      <c r="Q39" s="47">
        <f t="shared" si="247"/>
        <v>0</v>
      </c>
      <c r="R39" s="47">
        <f t="shared" si="248"/>
        <v>0</v>
      </c>
      <c r="S39" s="48"/>
      <c r="T39" s="66">
        <f t="shared" si="249"/>
        <v>0</v>
      </c>
      <c r="U39" s="67">
        <f t="shared" si="250"/>
        <v>0</v>
      </c>
      <c r="V39" s="66">
        <f t="shared" si="251"/>
        <v>0</v>
      </c>
      <c r="W39" s="67">
        <f t="shared" si="252"/>
        <v>0</v>
      </c>
      <c r="X39" s="48"/>
      <c r="Y39" s="47">
        <f t="shared" si="253"/>
        <v>0</v>
      </c>
      <c r="Z39" s="47">
        <f t="shared" si="254"/>
        <v>0</v>
      </c>
      <c r="AA39" s="47">
        <f t="shared" si="255"/>
        <v>0</v>
      </c>
      <c r="AB39" s="95" t="str">
        <f t="shared" si="256"/>
        <v/>
      </c>
      <c r="AC39" s="125"/>
      <c r="AD39" s="66">
        <f t="shared" si="257"/>
        <v>0</v>
      </c>
      <c r="AE39" s="67">
        <f t="shared" si="258"/>
        <v>0</v>
      </c>
      <c r="AF39" s="66">
        <f t="shared" si="259"/>
        <v>0</v>
      </c>
      <c r="AG39" s="67">
        <f t="shared" si="260"/>
        <v>0</v>
      </c>
      <c r="AH39" s="126"/>
      <c r="AI39" s="47" t="str">
        <f t="shared" si="261"/>
        <v/>
      </c>
      <c r="AJ39" s="47" t="str">
        <f t="shared" ref="AJ39:AT39" si="270">IFERROR(IF(AJ$3="A",CN39,IF(AJ$3="F",DB39,IF(AJ$3="B",BL39,0))),"")</f>
        <v/>
      </c>
      <c r="AK39" s="47" t="str">
        <f t="shared" si="270"/>
        <v/>
      </c>
      <c r="AL39" s="47" t="str">
        <f t="shared" si="270"/>
        <v/>
      </c>
      <c r="AM39" s="47" t="str">
        <f t="shared" si="270"/>
        <v/>
      </c>
      <c r="AN39" s="47" t="str">
        <f t="shared" si="270"/>
        <v/>
      </c>
      <c r="AO39" s="47" t="str">
        <f t="shared" si="270"/>
        <v/>
      </c>
      <c r="AP39" s="47" t="str">
        <f t="shared" si="270"/>
        <v/>
      </c>
      <c r="AQ39" s="47" t="str">
        <f t="shared" si="270"/>
        <v/>
      </c>
      <c r="AR39" s="47">
        <f t="shared" si="270"/>
        <v>0</v>
      </c>
      <c r="AS39" s="47">
        <f t="shared" si="270"/>
        <v>0</v>
      </c>
      <c r="AT39" s="47">
        <f t="shared" si="270"/>
        <v>0</v>
      </c>
      <c r="AU39" s="65">
        <f t="shared" si="263"/>
        <v>0</v>
      </c>
      <c r="AV39" s="127"/>
      <c r="AW39" s="47" t="str">
        <f t="shared" ref="AW39:BH39" si="271">IFERROR(IF(AW$3="A",CM39,IF(AW$3="B",BK39)),0)</f>
        <v/>
      </c>
      <c r="AX39" s="47" t="str">
        <f t="shared" si="271"/>
        <v/>
      </c>
      <c r="AY39" s="47" t="str">
        <f t="shared" si="271"/>
        <v/>
      </c>
      <c r="AZ39" s="47" t="str">
        <f t="shared" si="271"/>
        <v/>
      </c>
      <c r="BA39" s="47" t="str">
        <f t="shared" si="271"/>
        <v/>
      </c>
      <c r="BB39" s="47" t="str">
        <f t="shared" si="271"/>
        <v/>
      </c>
      <c r="BC39" s="47">
        <f t="shared" si="271"/>
        <v>0</v>
      </c>
      <c r="BD39" s="47">
        <f t="shared" si="271"/>
        <v>0</v>
      </c>
      <c r="BE39" s="47">
        <f t="shared" si="271"/>
        <v>0</v>
      </c>
      <c r="BF39" s="47">
        <f t="shared" si="271"/>
        <v>0</v>
      </c>
      <c r="BG39" s="47">
        <f t="shared" si="271"/>
        <v>0</v>
      </c>
      <c r="BH39" s="47">
        <f t="shared" si="271"/>
        <v>0</v>
      </c>
      <c r="BI39" s="65">
        <f t="shared" si="265"/>
        <v>0</v>
      </c>
      <c r="BJ39" s="126"/>
      <c r="BK39" s="128">
        <v>0.0</v>
      </c>
      <c r="BL39" s="128">
        <v>0.0</v>
      </c>
      <c r="BM39" s="128">
        <v>0.0</v>
      </c>
      <c r="BN39" s="128">
        <v>0.0</v>
      </c>
      <c r="BO39" s="128">
        <v>0.0</v>
      </c>
      <c r="BP39" s="128">
        <v>0.0</v>
      </c>
      <c r="BQ39" s="128">
        <v>0.0</v>
      </c>
      <c r="BR39" s="128">
        <v>0.0</v>
      </c>
      <c r="BS39" s="128">
        <v>0.0</v>
      </c>
      <c r="BT39" s="128">
        <v>0.0</v>
      </c>
      <c r="BU39" s="128">
        <v>0.0</v>
      </c>
      <c r="BV39" s="128">
        <v>0.0</v>
      </c>
      <c r="BW39" s="129">
        <v>0.0</v>
      </c>
      <c r="BX39" s="1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65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65"/>
      <c r="CZ39" s="11"/>
      <c r="DA39" s="47">
        <f t="shared" si="266"/>
        <v>0</v>
      </c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65">
        <f t="shared" si="267"/>
        <v>0</v>
      </c>
      <c r="DN39" s="1"/>
      <c r="DO39" s="132"/>
      <c r="DP39" s="132"/>
      <c r="DQ39" s="131"/>
    </row>
    <row r="40" outlineLevel="2">
      <c r="A40" s="15"/>
      <c r="B40" s="123" t="s">
        <v>54</v>
      </c>
      <c r="C40" s="124"/>
      <c r="D40" s="47">
        <f t="shared" si="236"/>
        <v>0</v>
      </c>
      <c r="E40" s="47">
        <f t="shared" si="237"/>
        <v>0</v>
      </c>
      <c r="F40" s="47">
        <f t="shared" si="238"/>
        <v>0</v>
      </c>
      <c r="G40" s="47">
        <f t="shared" si="239"/>
        <v>0</v>
      </c>
      <c r="H40" s="48"/>
      <c r="I40" s="66">
        <f t="shared" si="240"/>
        <v>0</v>
      </c>
      <c r="J40" s="67">
        <f t="shared" si="241"/>
        <v>0</v>
      </c>
      <c r="K40" s="66">
        <f t="shared" si="242"/>
        <v>0</v>
      </c>
      <c r="L40" s="67">
        <f t="shared" si="243"/>
        <v>0</v>
      </c>
      <c r="M40" s="66">
        <f t="shared" si="244"/>
        <v>0</v>
      </c>
      <c r="N40" s="67">
        <f t="shared" si="245"/>
        <v>0</v>
      </c>
      <c r="O40" s="48"/>
      <c r="P40" s="47">
        <f t="shared" si="246"/>
        <v>0</v>
      </c>
      <c r="Q40" s="47">
        <f t="shared" si="247"/>
        <v>0</v>
      </c>
      <c r="R40" s="47">
        <f t="shared" si="248"/>
        <v>0</v>
      </c>
      <c r="S40" s="48"/>
      <c r="T40" s="66">
        <f t="shared" si="249"/>
        <v>0</v>
      </c>
      <c r="U40" s="67">
        <f t="shared" si="250"/>
        <v>0</v>
      </c>
      <c r="V40" s="66">
        <f t="shared" si="251"/>
        <v>0</v>
      </c>
      <c r="W40" s="67">
        <f t="shared" si="252"/>
        <v>0</v>
      </c>
      <c r="X40" s="48"/>
      <c r="Y40" s="47">
        <f t="shared" si="253"/>
        <v>0</v>
      </c>
      <c r="Z40" s="47">
        <f t="shared" si="254"/>
        <v>0</v>
      </c>
      <c r="AA40" s="47">
        <f t="shared" si="255"/>
        <v>0</v>
      </c>
      <c r="AB40" s="95" t="str">
        <f t="shared" si="256"/>
        <v/>
      </c>
      <c r="AC40" s="125"/>
      <c r="AD40" s="66">
        <f t="shared" si="257"/>
        <v>0</v>
      </c>
      <c r="AE40" s="67">
        <f t="shared" si="258"/>
        <v>0</v>
      </c>
      <c r="AF40" s="66">
        <f t="shared" si="259"/>
        <v>0</v>
      </c>
      <c r="AG40" s="67">
        <f t="shared" si="260"/>
        <v>0</v>
      </c>
      <c r="AH40" s="126"/>
      <c r="AI40" s="47" t="str">
        <f t="shared" si="261"/>
        <v/>
      </c>
      <c r="AJ40" s="47" t="str">
        <f t="shared" ref="AJ40:AT40" si="272">IFERROR(IF(AJ$3="A",CN40,IF(AJ$3="F",DB40,IF(AJ$3="B",BL40,0))),"")</f>
        <v/>
      </c>
      <c r="AK40" s="47" t="str">
        <f t="shared" si="272"/>
        <v/>
      </c>
      <c r="AL40" s="47" t="str">
        <f t="shared" si="272"/>
        <v/>
      </c>
      <c r="AM40" s="47" t="str">
        <f t="shared" si="272"/>
        <v/>
      </c>
      <c r="AN40" s="47" t="str">
        <f t="shared" si="272"/>
        <v/>
      </c>
      <c r="AO40" s="47" t="str">
        <f t="shared" si="272"/>
        <v/>
      </c>
      <c r="AP40" s="47" t="str">
        <f t="shared" si="272"/>
        <v/>
      </c>
      <c r="AQ40" s="47" t="str">
        <f t="shared" si="272"/>
        <v/>
      </c>
      <c r="AR40" s="47">
        <f t="shared" si="272"/>
        <v>0</v>
      </c>
      <c r="AS40" s="47">
        <f t="shared" si="272"/>
        <v>0</v>
      </c>
      <c r="AT40" s="47">
        <f t="shared" si="272"/>
        <v>0</v>
      </c>
      <c r="AU40" s="65">
        <f t="shared" si="263"/>
        <v>0</v>
      </c>
      <c r="AV40" s="127"/>
      <c r="AW40" s="47" t="str">
        <f t="shared" ref="AW40:BH40" si="273">IFERROR(IF(AW$3="A",CM40,IF(AW$3="B",BK40)),0)</f>
        <v/>
      </c>
      <c r="AX40" s="47" t="str">
        <f t="shared" si="273"/>
        <v/>
      </c>
      <c r="AY40" s="47" t="str">
        <f t="shared" si="273"/>
        <v/>
      </c>
      <c r="AZ40" s="47" t="str">
        <f t="shared" si="273"/>
        <v/>
      </c>
      <c r="BA40" s="47" t="str">
        <f t="shared" si="273"/>
        <v/>
      </c>
      <c r="BB40" s="47" t="str">
        <f t="shared" si="273"/>
        <v/>
      </c>
      <c r="BC40" s="47">
        <f t="shared" si="273"/>
        <v>0</v>
      </c>
      <c r="BD40" s="47">
        <f t="shared" si="273"/>
        <v>0</v>
      </c>
      <c r="BE40" s="47">
        <f t="shared" si="273"/>
        <v>0</v>
      </c>
      <c r="BF40" s="47">
        <f t="shared" si="273"/>
        <v>0</v>
      </c>
      <c r="BG40" s="47">
        <f t="shared" si="273"/>
        <v>0</v>
      </c>
      <c r="BH40" s="47">
        <f t="shared" si="273"/>
        <v>0</v>
      </c>
      <c r="BI40" s="65">
        <f t="shared" si="265"/>
        <v>0</v>
      </c>
      <c r="BJ40" s="126"/>
      <c r="BK40" s="128">
        <v>0.0</v>
      </c>
      <c r="BL40" s="128">
        <v>0.0</v>
      </c>
      <c r="BM40" s="128">
        <v>0.0</v>
      </c>
      <c r="BN40" s="128">
        <v>0.0</v>
      </c>
      <c r="BO40" s="128">
        <v>0.0</v>
      </c>
      <c r="BP40" s="128">
        <v>0.0</v>
      </c>
      <c r="BQ40" s="128">
        <v>0.0</v>
      </c>
      <c r="BR40" s="128">
        <v>0.0</v>
      </c>
      <c r="BS40" s="128">
        <v>0.0</v>
      </c>
      <c r="BT40" s="128">
        <v>0.0</v>
      </c>
      <c r="BU40" s="128">
        <v>0.0</v>
      </c>
      <c r="BV40" s="128">
        <v>0.0</v>
      </c>
      <c r="BW40" s="129">
        <v>0.0</v>
      </c>
      <c r="BX40" s="1"/>
      <c r="BY40" s="47"/>
      <c r="BZ40" s="47"/>
      <c r="CA40" s="47"/>
      <c r="CB40" s="47"/>
      <c r="CC40" s="47"/>
      <c r="CD40" s="47"/>
      <c r="CE40" s="47"/>
      <c r="CF40" s="47"/>
      <c r="CG40" s="47"/>
      <c r="CH40" s="47"/>
      <c r="CI40" s="47"/>
      <c r="CJ40" s="47"/>
      <c r="CK40" s="65"/>
      <c r="CL40" s="47"/>
      <c r="CM40" s="47"/>
      <c r="CN40" s="47"/>
      <c r="CO40" s="47"/>
      <c r="CP40" s="47"/>
      <c r="CQ40" s="47"/>
      <c r="CR40" s="47"/>
      <c r="CS40" s="47"/>
      <c r="CT40" s="47"/>
      <c r="CU40" s="47"/>
      <c r="CV40" s="47"/>
      <c r="CW40" s="47"/>
      <c r="CX40" s="47"/>
      <c r="CY40" s="65"/>
      <c r="CZ40" s="11"/>
      <c r="DA40" s="47">
        <f t="shared" si="266"/>
        <v>0</v>
      </c>
      <c r="DB40" s="47"/>
      <c r="DC40" s="47"/>
      <c r="DD40" s="47"/>
      <c r="DE40" s="47"/>
      <c r="DF40" s="47"/>
      <c r="DG40" s="47"/>
      <c r="DH40" s="47"/>
      <c r="DI40" s="47"/>
      <c r="DJ40" s="47"/>
      <c r="DK40" s="47"/>
      <c r="DL40" s="47"/>
      <c r="DM40" s="65">
        <f t="shared" si="267"/>
        <v>0</v>
      </c>
      <c r="DN40" s="1"/>
      <c r="DO40" s="132"/>
      <c r="DP40" s="132"/>
      <c r="DQ40" s="131"/>
    </row>
    <row r="41" outlineLevel="2">
      <c r="A41" s="15"/>
      <c r="B41" s="123" t="s">
        <v>55</v>
      </c>
      <c r="C41" s="124"/>
      <c r="D41" s="47">
        <f t="shared" si="236"/>
        <v>0</v>
      </c>
      <c r="E41" s="47">
        <f t="shared" si="237"/>
        <v>0</v>
      </c>
      <c r="F41" s="47">
        <f t="shared" si="238"/>
        <v>0</v>
      </c>
      <c r="G41" s="47">
        <f t="shared" si="239"/>
        <v>0</v>
      </c>
      <c r="H41" s="48"/>
      <c r="I41" s="66">
        <f t="shared" si="240"/>
        <v>0</v>
      </c>
      <c r="J41" s="67">
        <f t="shared" si="241"/>
        <v>0</v>
      </c>
      <c r="K41" s="66">
        <f t="shared" si="242"/>
        <v>0</v>
      </c>
      <c r="L41" s="67">
        <f t="shared" si="243"/>
        <v>0</v>
      </c>
      <c r="M41" s="66">
        <f t="shared" si="244"/>
        <v>0</v>
      </c>
      <c r="N41" s="67">
        <f t="shared" si="245"/>
        <v>0</v>
      </c>
      <c r="O41" s="48"/>
      <c r="P41" s="47">
        <f t="shared" si="246"/>
        <v>0</v>
      </c>
      <c r="Q41" s="47">
        <f t="shared" si="247"/>
        <v>0</v>
      </c>
      <c r="R41" s="47">
        <f t="shared" si="248"/>
        <v>0</v>
      </c>
      <c r="S41" s="48"/>
      <c r="T41" s="66">
        <f t="shared" si="249"/>
        <v>0</v>
      </c>
      <c r="U41" s="67">
        <f t="shared" si="250"/>
        <v>0</v>
      </c>
      <c r="V41" s="66">
        <f t="shared" si="251"/>
        <v>0</v>
      </c>
      <c r="W41" s="67">
        <f t="shared" si="252"/>
        <v>0</v>
      </c>
      <c r="X41" s="48"/>
      <c r="Y41" s="47">
        <f t="shared" si="253"/>
        <v>0</v>
      </c>
      <c r="Z41" s="47">
        <f t="shared" si="254"/>
        <v>0</v>
      </c>
      <c r="AA41" s="47">
        <f t="shared" si="255"/>
        <v>0</v>
      </c>
      <c r="AB41" s="95" t="str">
        <f t="shared" si="256"/>
        <v/>
      </c>
      <c r="AC41" s="125"/>
      <c r="AD41" s="66">
        <f t="shared" si="257"/>
        <v>0</v>
      </c>
      <c r="AE41" s="67">
        <f t="shared" si="258"/>
        <v>0</v>
      </c>
      <c r="AF41" s="66">
        <f t="shared" si="259"/>
        <v>0</v>
      </c>
      <c r="AG41" s="67">
        <f t="shared" si="260"/>
        <v>0</v>
      </c>
      <c r="AH41" s="126"/>
      <c r="AI41" s="47" t="str">
        <f t="shared" si="261"/>
        <v/>
      </c>
      <c r="AJ41" s="47" t="str">
        <f t="shared" ref="AJ41:AT41" si="274">IFERROR(IF(AJ$3="A",CN41,IF(AJ$3="F",DB41,IF(AJ$3="B",BL41,0))),"")</f>
        <v/>
      </c>
      <c r="AK41" s="47" t="str">
        <f t="shared" si="274"/>
        <v/>
      </c>
      <c r="AL41" s="47" t="str">
        <f t="shared" si="274"/>
        <v/>
      </c>
      <c r="AM41" s="47" t="str">
        <f t="shared" si="274"/>
        <v/>
      </c>
      <c r="AN41" s="47" t="str">
        <f t="shared" si="274"/>
        <v/>
      </c>
      <c r="AO41" s="47" t="str">
        <f t="shared" si="274"/>
        <v/>
      </c>
      <c r="AP41" s="47" t="str">
        <f t="shared" si="274"/>
        <v/>
      </c>
      <c r="AQ41" s="47" t="str">
        <f t="shared" si="274"/>
        <v/>
      </c>
      <c r="AR41" s="47">
        <f t="shared" si="274"/>
        <v>0</v>
      </c>
      <c r="AS41" s="47">
        <f t="shared" si="274"/>
        <v>0</v>
      </c>
      <c r="AT41" s="47">
        <f t="shared" si="274"/>
        <v>0</v>
      </c>
      <c r="AU41" s="65">
        <f t="shared" si="263"/>
        <v>0</v>
      </c>
      <c r="AV41" s="127"/>
      <c r="AW41" s="47" t="str">
        <f t="shared" ref="AW41:BH41" si="275">IFERROR(IF(AW$3="A",CM41,IF(AW$3="B",BK41)),0)</f>
        <v/>
      </c>
      <c r="AX41" s="47" t="str">
        <f t="shared" si="275"/>
        <v/>
      </c>
      <c r="AY41" s="47" t="str">
        <f t="shared" si="275"/>
        <v/>
      </c>
      <c r="AZ41" s="47" t="str">
        <f t="shared" si="275"/>
        <v/>
      </c>
      <c r="BA41" s="47" t="str">
        <f t="shared" si="275"/>
        <v/>
      </c>
      <c r="BB41" s="47" t="str">
        <f t="shared" si="275"/>
        <v/>
      </c>
      <c r="BC41" s="47">
        <f t="shared" si="275"/>
        <v>0</v>
      </c>
      <c r="BD41" s="47">
        <f t="shared" si="275"/>
        <v>0</v>
      </c>
      <c r="BE41" s="47">
        <f t="shared" si="275"/>
        <v>0</v>
      </c>
      <c r="BF41" s="47">
        <f t="shared" si="275"/>
        <v>0</v>
      </c>
      <c r="BG41" s="47">
        <f t="shared" si="275"/>
        <v>0</v>
      </c>
      <c r="BH41" s="47">
        <f t="shared" si="275"/>
        <v>0</v>
      </c>
      <c r="BI41" s="65">
        <f t="shared" si="265"/>
        <v>0</v>
      </c>
      <c r="BJ41" s="126"/>
      <c r="BK41" s="128">
        <v>0.0</v>
      </c>
      <c r="BL41" s="128">
        <v>0.0</v>
      </c>
      <c r="BM41" s="128">
        <v>0.0</v>
      </c>
      <c r="BN41" s="128">
        <v>0.0</v>
      </c>
      <c r="BO41" s="128">
        <v>0.0</v>
      </c>
      <c r="BP41" s="128">
        <v>0.0</v>
      </c>
      <c r="BQ41" s="128">
        <v>0.0</v>
      </c>
      <c r="BR41" s="128">
        <v>0.0</v>
      </c>
      <c r="BS41" s="128">
        <v>0.0</v>
      </c>
      <c r="BT41" s="128">
        <v>0.0</v>
      </c>
      <c r="BU41" s="128">
        <v>0.0</v>
      </c>
      <c r="BV41" s="128">
        <v>0.0</v>
      </c>
      <c r="BW41" s="129">
        <v>0.0</v>
      </c>
      <c r="BX41" s="1"/>
      <c r="BY41" s="47"/>
      <c r="BZ41" s="47"/>
      <c r="CA41" s="47"/>
      <c r="CB41" s="47"/>
      <c r="CC41" s="47"/>
      <c r="CD41" s="47"/>
      <c r="CE41" s="47"/>
      <c r="CF41" s="47"/>
      <c r="CG41" s="47"/>
      <c r="CH41" s="47"/>
      <c r="CI41" s="47"/>
      <c r="CJ41" s="47"/>
      <c r="CK41" s="65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65"/>
      <c r="CZ41" s="11"/>
      <c r="DA41" s="47">
        <f t="shared" si="266"/>
        <v>0</v>
      </c>
      <c r="DB41" s="47"/>
      <c r="DC41" s="47"/>
      <c r="DD41" s="47"/>
      <c r="DE41" s="47"/>
      <c r="DF41" s="47"/>
      <c r="DG41" s="47"/>
      <c r="DH41" s="47"/>
      <c r="DI41" s="47"/>
      <c r="DJ41" s="47"/>
      <c r="DK41" s="47"/>
      <c r="DL41" s="47"/>
      <c r="DM41" s="65">
        <f t="shared" si="267"/>
        <v>0</v>
      </c>
      <c r="DN41" s="1"/>
      <c r="DO41" s="132"/>
      <c r="DP41" s="132"/>
      <c r="DQ41" s="131"/>
    </row>
    <row r="42" outlineLevel="1">
      <c r="A42" s="15"/>
      <c r="B42" s="133" t="s">
        <v>56</v>
      </c>
      <c r="C42" s="124"/>
      <c r="D42" s="57">
        <f t="shared" ref="D42:G42" si="276">SUM(D37:D41)</f>
        <v>0</v>
      </c>
      <c r="E42" s="57">
        <f t="shared" si="276"/>
        <v>0</v>
      </c>
      <c r="F42" s="57">
        <f t="shared" si="276"/>
        <v>297</v>
      </c>
      <c r="G42" s="57">
        <f t="shared" si="276"/>
        <v>0</v>
      </c>
      <c r="H42" s="95"/>
      <c r="I42" s="75">
        <f t="shared" si="240"/>
        <v>0</v>
      </c>
      <c r="J42" s="60">
        <f t="shared" si="241"/>
        <v>0</v>
      </c>
      <c r="K42" s="75">
        <f t="shared" si="242"/>
        <v>-297</v>
      </c>
      <c r="L42" s="60">
        <f t="shared" si="243"/>
        <v>-1</v>
      </c>
      <c r="M42" s="75">
        <f t="shared" si="244"/>
        <v>0</v>
      </c>
      <c r="N42" s="60">
        <f t="shared" si="245"/>
        <v>0</v>
      </c>
      <c r="O42" s="95"/>
      <c r="P42" s="57">
        <f t="shared" ref="P42:R42" si="277">SUM(P37:P41)</f>
        <v>0</v>
      </c>
      <c r="Q42" s="57">
        <f t="shared" si="277"/>
        <v>1517</v>
      </c>
      <c r="R42" s="57">
        <f t="shared" si="277"/>
        <v>0</v>
      </c>
      <c r="S42" s="125"/>
      <c r="T42" s="75">
        <f t="shared" si="249"/>
        <v>-1517</v>
      </c>
      <c r="U42" s="60">
        <f t="shared" si="250"/>
        <v>-1</v>
      </c>
      <c r="V42" s="75">
        <f t="shared" si="251"/>
        <v>0</v>
      </c>
      <c r="W42" s="60">
        <f t="shared" si="252"/>
        <v>0</v>
      </c>
      <c r="X42" s="125"/>
      <c r="Y42" s="57">
        <f t="shared" ref="Y42:AB42" si="278">SUM(Y37:Y41)</f>
        <v>878</v>
      </c>
      <c r="Z42" s="57">
        <f t="shared" si="278"/>
        <v>2249</v>
      </c>
      <c r="AA42" s="57">
        <f t="shared" si="278"/>
        <v>3766</v>
      </c>
      <c r="AB42" s="57">
        <f t="shared" si="278"/>
        <v>0</v>
      </c>
      <c r="AC42" s="125"/>
      <c r="AD42" s="75">
        <f t="shared" si="257"/>
        <v>-2888</v>
      </c>
      <c r="AE42" s="60">
        <f t="shared" si="258"/>
        <v>-0.7668613914</v>
      </c>
      <c r="AF42" s="75">
        <f t="shared" si="259"/>
        <v>878</v>
      </c>
      <c r="AG42" s="60">
        <f t="shared" si="260"/>
        <v>0</v>
      </c>
      <c r="AH42" s="134"/>
      <c r="AI42" s="57">
        <f t="shared" ref="AI42:AU42" si="279">SUM(AI37:AI41)</f>
        <v>0</v>
      </c>
      <c r="AJ42" s="57">
        <f t="shared" si="279"/>
        <v>0</v>
      </c>
      <c r="AK42" s="57">
        <f t="shared" si="279"/>
        <v>0</v>
      </c>
      <c r="AL42" s="57">
        <f t="shared" si="279"/>
        <v>0</v>
      </c>
      <c r="AM42" s="57">
        <f t="shared" si="279"/>
        <v>0</v>
      </c>
      <c r="AN42" s="57">
        <f t="shared" si="279"/>
        <v>0</v>
      </c>
      <c r="AO42" s="57">
        <f t="shared" si="279"/>
        <v>0</v>
      </c>
      <c r="AP42" s="57">
        <f t="shared" si="279"/>
        <v>0</v>
      </c>
      <c r="AQ42" s="57">
        <f t="shared" si="279"/>
        <v>0</v>
      </c>
      <c r="AR42" s="57">
        <f t="shared" si="279"/>
        <v>415</v>
      </c>
      <c r="AS42" s="57">
        <f t="shared" si="279"/>
        <v>228</v>
      </c>
      <c r="AT42" s="57">
        <f t="shared" si="279"/>
        <v>235</v>
      </c>
      <c r="AU42" s="57">
        <f t="shared" si="279"/>
        <v>878</v>
      </c>
      <c r="AV42" s="127"/>
      <c r="AW42" s="57">
        <f t="shared" ref="AW42:BI42" si="280">SUM(AW37:AW41)</f>
        <v>0</v>
      </c>
      <c r="AX42" s="57">
        <f t="shared" si="280"/>
        <v>0</v>
      </c>
      <c r="AY42" s="57">
        <f t="shared" si="280"/>
        <v>0</v>
      </c>
      <c r="AZ42" s="57">
        <f t="shared" si="280"/>
        <v>0</v>
      </c>
      <c r="BA42" s="57">
        <f t="shared" si="280"/>
        <v>0</v>
      </c>
      <c r="BB42" s="57">
        <f t="shared" si="280"/>
        <v>0</v>
      </c>
      <c r="BC42" s="57">
        <f t="shared" si="280"/>
        <v>481</v>
      </c>
      <c r="BD42" s="57">
        <f t="shared" si="280"/>
        <v>468</v>
      </c>
      <c r="BE42" s="57">
        <f t="shared" si="280"/>
        <v>422</v>
      </c>
      <c r="BF42" s="57">
        <f t="shared" si="280"/>
        <v>415</v>
      </c>
      <c r="BG42" s="57">
        <f t="shared" si="280"/>
        <v>228</v>
      </c>
      <c r="BH42" s="57">
        <f t="shared" si="280"/>
        <v>235</v>
      </c>
      <c r="BI42" s="57">
        <f t="shared" si="280"/>
        <v>2249</v>
      </c>
      <c r="BJ42" s="134"/>
      <c r="BK42" s="135">
        <v>273.0</v>
      </c>
      <c r="BL42" s="135">
        <v>287.0</v>
      </c>
      <c r="BM42" s="135">
        <v>193.0</v>
      </c>
      <c r="BN42" s="135">
        <v>205.0</v>
      </c>
      <c r="BO42" s="135">
        <v>262.0</v>
      </c>
      <c r="BP42" s="135">
        <v>297.0</v>
      </c>
      <c r="BQ42" s="135">
        <v>481.0</v>
      </c>
      <c r="BR42" s="135">
        <v>468.0</v>
      </c>
      <c r="BS42" s="135">
        <v>422.0</v>
      </c>
      <c r="BT42" s="135">
        <v>415.0</v>
      </c>
      <c r="BU42" s="135">
        <v>228.0</v>
      </c>
      <c r="BV42" s="135">
        <v>235.0</v>
      </c>
      <c r="BW42" s="135">
        <v>3766.0</v>
      </c>
      <c r="BX42" s="1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11"/>
      <c r="DA42" s="57">
        <f>SUM(DA37:DA41)</f>
        <v>273</v>
      </c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>
        <f>SUM(DM37:DM41)</f>
        <v>273</v>
      </c>
      <c r="DN42" s="1"/>
      <c r="DO42" s="136"/>
      <c r="DP42" s="136"/>
      <c r="DQ42" s="131"/>
    </row>
    <row r="43" outlineLevel="2">
      <c r="A43" s="15"/>
      <c r="B43" s="123" t="s">
        <v>57</v>
      </c>
      <c r="C43" s="124"/>
      <c r="D43" s="47">
        <f t="shared" ref="D43:D47" si="283">SUMIFS($CM43:$CX43,$CM$35:$CX$35,$D$2)</f>
        <v>0</v>
      </c>
      <c r="E43" s="47">
        <f t="shared" ref="E43:E47" si="284">SUMIFS($DA43:$DM43,$DA$35:$DM$35,$D$2)</f>
        <v>0</v>
      </c>
      <c r="F43" s="47">
        <f t="shared" ref="F43:F47" si="285">SUMIFS($BK43:$BV43,$BK$35:$BV$35,$D$2)</f>
        <v>469.0714</v>
      </c>
      <c r="G43" s="47">
        <f t="shared" ref="G43:G47" si="286">SUMIFS($BY43:$CJ43,$BY$35:$CJ$35,$D$2)</f>
        <v>0</v>
      </c>
      <c r="H43" s="48"/>
      <c r="I43" s="66">
        <f t="shared" si="240"/>
        <v>0</v>
      </c>
      <c r="J43" s="67">
        <f t="shared" si="241"/>
        <v>0</v>
      </c>
      <c r="K43" s="66">
        <f t="shared" si="242"/>
        <v>-469.0714</v>
      </c>
      <c r="L43" s="67">
        <f t="shared" si="243"/>
        <v>-1</v>
      </c>
      <c r="M43" s="66">
        <f t="shared" si="244"/>
        <v>0</v>
      </c>
      <c r="N43" s="67">
        <f t="shared" si="245"/>
        <v>0</v>
      </c>
      <c r="O43" s="48"/>
      <c r="P43" s="47">
        <f t="shared" ref="P43:P47" si="287">SUMIFS($CM43:$CX43,$CM$35:$CX$35,$P$2)</f>
        <v>0</v>
      </c>
      <c r="Q43" s="47">
        <f t="shared" ref="Q43:Q47" si="288">SUMIFS($BK43:$BV43,$BK$35:$BV$35,$P$2)</f>
        <v>2544.9407</v>
      </c>
      <c r="R43" s="47">
        <f t="shared" ref="R43:R47" si="289">SUMIFS($BY43:$CJ43,$BY$35:$CJ$35,$P$2)</f>
        <v>0</v>
      </c>
      <c r="S43" s="48"/>
      <c r="T43" s="66">
        <f t="shared" si="249"/>
        <v>-2544.9407</v>
      </c>
      <c r="U43" s="67">
        <f t="shared" si="250"/>
        <v>-1</v>
      </c>
      <c r="V43" s="66">
        <f t="shared" si="251"/>
        <v>0</v>
      </c>
      <c r="W43" s="67">
        <f t="shared" si="252"/>
        <v>0</v>
      </c>
      <c r="X43" s="48"/>
      <c r="Y43" s="47">
        <f t="shared" ref="Y43:Y47" si="290">$AU43</f>
        <v>1699.482</v>
      </c>
      <c r="Z43" s="47">
        <f t="shared" ref="Z43:Z47" si="291">$BI43</f>
        <v>4152.0099</v>
      </c>
      <c r="AA43" s="47">
        <f t="shared" ref="AA43:AA47" si="292">$BW43</f>
        <v>6696.9507</v>
      </c>
      <c r="AB43" s="95" t="str">
        <f t="shared" ref="AB43:AB47" si="293">$CK43</f>
        <v/>
      </c>
      <c r="AC43" s="125"/>
      <c r="AD43" s="66">
        <f t="shared" si="257"/>
        <v>-4997.4687</v>
      </c>
      <c r="AE43" s="67">
        <f t="shared" si="258"/>
        <v>-0.7462304747</v>
      </c>
      <c r="AF43" s="66">
        <f t="shared" si="259"/>
        <v>1699.482</v>
      </c>
      <c r="AG43" s="67">
        <f t="shared" si="260"/>
        <v>0</v>
      </c>
      <c r="AH43" s="126"/>
      <c r="AI43" s="47" t="str">
        <f t="shared" ref="AI43:AI47" si="294">IFERROR(IF(AI$3="A",CM43,IF(AI$3="F",DA43)),0)</f>
        <v/>
      </c>
      <c r="AJ43" s="47" t="str">
        <f t="shared" ref="AJ43:AT43" si="281">IFERROR(IF(AJ$3="A",CN43,IF(AJ$3="F",DB43,IF(AJ$3="B",BL43,0))),"")</f>
        <v/>
      </c>
      <c r="AK43" s="47" t="str">
        <f t="shared" si="281"/>
        <v/>
      </c>
      <c r="AL43" s="47" t="str">
        <f t="shared" si="281"/>
        <v/>
      </c>
      <c r="AM43" s="47" t="str">
        <f t="shared" si="281"/>
        <v/>
      </c>
      <c r="AN43" s="47" t="str">
        <f t="shared" si="281"/>
        <v/>
      </c>
      <c r="AO43" s="47" t="str">
        <f t="shared" si="281"/>
        <v/>
      </c>
      <c r="AP43" s="47" t="str">
        <f t="shared" si="281"/>
        <v/>
      </c>
      <c r="AQ43" s="47" t="str">
        <f t="shared" si="281"/>
        <v/>
      </c>
      <c r="AR43" s="47">
        <f t="shared" si="281"/>
        <v>768.6932</v>
      </c>
      <c r="AS43" s="47">
        <f t="shared" si="281"/>
        <v>417</v>
      </c>
      <c r="AT43" s="47">
        <f t="shared" si="281"/>
        <v>513.7888</v>
      </c>
      <c r="AU43" s="65">
        <f t="shared" ref="AU43:AU47" si="296">SUM(AI43:AT43)</f>
        <v>1699.482</v>
      </c>
      <c r="AV43" s="127"/>
      <c r="AW43" s="47" t="str">
        <f t="shared" ref="AW43:BH43" si="282">IFERROR(IF(AW$3="A",CM43,IF(AW$3="B",BK43)),0)</f>
        <v/>
      </c>
      <c r="AX43" s="47" t="str">
        <f t="shared" si="282"/>
        <v/>
      </c>
      <c r="AY43" s="47" t="str">
        <f t="shared" si="282"/>
        <v/>
      </c>
      <c r="AZ43" s="47" t="str">
        <f t="shared" si="282"/>
        <v/>
      </c>
      <c r="BA43" s="47" t="str">
        <f t="shared" si="282"/>
        <v/>
      </c>
      <c r="BB43" s="47" t="str">
        <f t="shared" si="282"/>
        <v/>
      </c>
      <c r="BC43" s="47">
        <f t="shared" si="282"/>
        <v>859.5261</v>
      </c>
      <c r="BD43" s="47">
        <f t="shared" si="282"/>
        <v>885.3248</v>
      </c>
      <c r="BE43" s="47">
        <f t="shared" si="282"/>
        <v>707.677</v>
      </c>
      <c r="BF43" s="47">
        <f t="shared" si="282"/>
        <v>768.6932</v>
      </c>
      <c r="BG43" s="47">
        <f t="shared" si="282"/>
        <v>417</v>
      </c>
      <c r="BH43" s="47">
        <f t="shared" si="282"/>
        <v>513.7888</v>
      </c>
      <c r="BI43" s="65">
        <f t="shared" ref="BI43:BI47" si="298">SUM(AW43:BH43)</f>
        <v>4152.0099</v>
      </c>
      <c r="BJ43" s="126"/>
      <c r="BK43" s="128">
        <v>478.6213</v>
      </c>
      <c r="BL43" s="128">
        <v>478.3333</v>
      </c>
      <c r="BM43" s="128">
        <v>331.6188</v>
      </c>
      <c r="BN43" s="128">
        <v>345.1709</v>
      </c>
      <c r="BO43" s="128">
        <v>442.125</v>
      </c>
      <c r="BP43" s="128">
        <v>469.0714</v>
      </c>
      <c r="BQ43" s="128">
        <v>859.5261</v>
      </c>
      <c r="BR43" s="128">
        <v>885.3248</v>
      </c>
      <c r="BS43" s="128">
        <v>707.677</v>
      </c>
      <c r="BT43" s="128">
        <v>768.6932</v>
      </c>
      <c r="BU43" s="128">
        <v>417.0</v>
      </c>
      <c r="BV43" s="128">
        <v>513.7888</v>
      </c>
      <c r="BW43" s="129">
        <v>6696.9507</v>
      </c>
      <c r="BX43" s="1"/>
      <c r="BY43" s="47"/>
      <c r="BZ43" s="47"/>
      <c r="CA43" s="47"/>
      <c r="CB43" s="47"/>
      <c r="CC43" s="47"/>
      <c r="CD43" s="47"/>
      <c r="CE43" s="47"/>
      <c r="CF43" s="47"/>
      <c r="CG43" s="47"/>
      <c r="CH43" s="47"/>
      <c r="CI43" s="47"/>
      <c r="CJ43" s="47"/>
      <c r="CK43" s="65"/>
      <c r="CL43" s="47"/>
      <c r="CM43" s="47"/>
      <c r="CN43" s="47"/>
      <c r="CO43" s="47"/>
      <c r="CP43" s="47"/>
      <c r="CQ43" s="47"/>
      <c r="CR43" s="47"/>
      <c r="CS43" s="47"/>
      <c r="CT43" s="47"/>
      <c r="CU43" s="47"/>
      <c r="CV43" s="47"/>
      <c r="CW43" s="47"/>
      <c r="CX43" s="47"/>
      <c r="CY43" s="65"/>
      <c r="CZ43" s="11"/>
      <c r="DA43" s="47">
        <f t="shared" ref="DA43:DA47" si="299">BK43</f>
        <v>478.6213</v>
      </c>
      <c r="DB43" s="47"/>
      <c r="DC43" s="47"/>
      <c r="DD43" s="47"/>
      <c r="DE43" s="47"/>
      <c r="DF43" s="47"/>
      <c r="DG43" s="47"/>
      <c r="DH43" s="47"/>
      <c r="DI43" s="47"/>
      <c r="DJ43" s="47"/>
      <c r="DK43" s="47"/>
      <c r="DL43" s="47"/>
      <c r="DM43" s="65">
        <f t="shared" ref="DM43:DM47" si="300">SUM(DA43:DL43)</f>
        <v>478.6213</v>
      </c>
      <c r="DN43" s="1"/>
      <c r="DO43" s="130"/>
      <c r="DP43" s="130"/>
      <c r="DQ43" s="131"/>
    </row>
    <row r="44" outlineLevel="2">
      <c r="A44" s="15"/>
      <c r="B44" s="123" t="s">
        <v>58</v>
      </c>
      <c r="C44" s="124"/>
      <c r="D44" s="47">
        <f t="shared" si="283"/>
        <v>0</v>
      </c>
      <c r="E44" s="47">
        <f t="shared" si="284"/>
        <v>0</v>
      </c>
      <c r="F44" s="47">
        <f t="shared" si="285"/>
        <v>184.6429</v>
      </c>
      <c r="G44" s="47">
        <f t="shared" si="286"/>
        <v>0</v>
      </c>
      <c r="H44" s="48"/>
      <c r="I44" s="66">
        <f t="shared" si="240"/>
        <v>0</v>
      </c>
      <c r="J44" s="67">
        <f t="shared" si="241"/>
        <v>0</v>
      </c>
      <c r="K44" s="66">
        <f t="shared" si="242"/>
        <v>-184.6429</v>
      </c>
      <c r="L44" s="67">
        <f t="shared" si="243"/>
        <v>-1</v>
      </c>
      <c r="M44" s="66">
        <f t="shared" si="244"/>
        <v>0</v>
      </c>
      <c r="N44" s="67">
        <f t="shared" si="245"/>
        <v>0</v>
      </c>
      <c r="O44" s="48"/>
      <c r="P44" s="47">
        <f t="shared" si="287"/>
        <v>0</v>
      </c>
      <c r="Q44" s="47">
        <f t="shared" si="288"/>
        <v>727.2563</v>
      </c>
      <c r="R44" s="47">
        <f t="shared" si="289"/>
        <v>0</v>
      </c>
      <c r="S44" s="48"/>
      <c r="T44" s="66">
        <f t="shared" si="249"/>
        <v>-727.2563</v>
      </c>
      <c r="U44" s="67">
        <f t="shared" si="250"/>
        <v>-1</v>
      </c>
      <c r="V44" s="66">
        <f t="shared" si="251"/>
        <v>0</v>
      </c>
      <c r="W44" s="67">
        <f t="shared" si="252"/>
        <v>0</v>
      </c>
      <c r="X44" s="48"/>
      <c r="Y44" s="47">
        <f t="shared" si="290"/>
        <v>114.0653</v>
      </c>
      <c r="Z44" s="47">
        <f t="shared" si="291"/>
        <v>553.334</v>
      </c>
      <c r="AA44" s="47">
        <f t="shared" si="292"/>
        <v>1280.5904</v>
      </c>
      <c r="AB44" s="95" t="str">
        <f t="shared" si="293"/>
        <v/>
      </c>
      <c r="AC44" s="125"/>
      <c r="AD44" s="66">
        <f t="shared" si="257"/>
        <v>-1166.5251</v>
      </c>
      <c r="AE44" s="67">
        <f t="shared" si="258"/>
        <v>-0.910927569</v>
      </c>
      <c r="AF44" s="66">
        <f t="shared" si="259"/>
        <v>114.0653</v>
      </c>
      <c r="AG44" s="67">
        <f t="shared" si="260"/>
        <v>0</v>
      </c>
      <c r="AH44" s="126"/>
      <c r="AI44" s="47" t="str">
        <f t="shared" si="294"/>
        <v/>
      </c>
      <c r="AJ44" s="47" t="str">
        <f t="shared" ref="AJ44:AT44" si="295">IFERROR(IF(AJ$3="A",CN44,IF(AJ$3="F",DB44,IF(AJ$3="B",BL44,0))),"")</f>
        <v/>
      </c>
      <c r="AK44" s="47" t="str">
        <f t="shared" si="295"/>
        <v/>
      </c>
      <c r="AL44" s="47" t="str">
        <f t="shared" si="295"/>
        <v/>
      </c>
      <c r="AM44" s="47" t="str">
        <f t="shared" si="295"/>
        <v/>
      </c>
      <c r="AN44" s="47" t="str">
        <f t="shared" si="295"/>
        <v/>
      </c>
      <c r="AO44" s="47" t="str">
        <f t="shared" si="295"/>
        <v/>
      </c>
      <c r="AP44" s="47" t="str">
        <f t="shared" si="295"/>
        <v/>
      </c>
      <c r="AQ44" s="47" t="str">
        <f t="shared" si="295"/>
        <v/>
      </c>
      <c r="AR44" s="47">
        <f t="shared" si="295"/>
        <v>86.0653</v>
      </c>
      <c r="AS44" s="47">
        <f t="shared" si="295"/>
        <v>28</v>
      </c>
      <c r="AT44" s="47">
        <f t="shared" si="295"/>
        <v>0</v>
      </c>
      <c r="AU44" s="65">
        <f t="shared" si="296"/>
        <v>114.0653</v>
      </c>
      <c r="AV44" s="127"/>
      <c r="AW44" s="47" t="str">
        <f t="shared" ref="AW44:BH44" si="297">IFERROR(IF(AW$3="A",CM44,IF(AW$3="B",BK44)),0)</f>
        <v/>
      </c>
      <c r="AX44" s="47" t="str">
        <f t="shared" si="297"/>
        <v/>
      </c>
      <c r="AY44" s="47" t="str">
        <f t="shared" si="297"/>
        <v/>
      </c>
      <c r="AZ44" s="47" t="str">
        <f t="shared" si="297"/>
        <v/>
      </c>
      <c r="BA44" s="47" t="str">
        <f t="shared" si="297"/>
        <v/>
      </c>
      <c r="BB44" s="47" t="str">
        <f t="shared" si="297"/>
        <v/>
      </c>
      <c r="BC44" s="47">
        <f t="shared" si="297"/>
        <v>194.4913</v>
      </c>
      <c r="BD44" s="47">
        <f t="shared" si="297"/>
        <v>91.414</v>
      </c>
      <c r="BE44" s="47">
        <f t="shared" si="297"/>
        <v>153.3634</v>
      </c>
      <c r="BF44" s="47">
        <f t="shared" si="297"/>
        <v>86.0653</v>
      </c>
      <c r="BG44" s="47">
        <f t="shared" si="297"/>
        <v>28</v>
      </c>
      <c r="BH44" s="47">
        <f t="shared" si="297"/>
        <v>0</v>
      </c>
      <c r="BI44" s="65">
        <f t="shared" si="298"/>
        <v>553.334</v>
      </c>
      <c r="BJ44" s="126"/>
      <c r="BK44" s="128">
        <v>128.9489</v>
      </c>
      <c r="BL44" s="128">
        <v>124.3667</v>
      </c>
      <c r="BM44" s="128">
        <v>72.5083</v>
      </c>
      <c r="BN44" s="128">
        <v>134.9145</v>
      </c>
      <c r="BO44" s="128">
        <v>81.875</v>
      </c>
      <c r="BP44" s="128">
        <v>184.6429</v>
      </c>
      <c r="BQ44" s="128">
        <v>194.4913</v>
      </c>
      <c r="BR44" s="128">
        <v>91.414</v>
      </c>
      <c r="BS44" s="128">
        <v>153.3634</v>
      </c>
      <c r="BT44" s="128">
        <v>86.0653</v>
      </c>
      <c r="BU44" s="128">
        <v>28.0</v>
      </c>
      <c r="BV44" s="128">
        <v>0.0</v>
      </c>
      <c r="BW44" s="129">
        <v>1280.5904</v>
      </c>
      <c r="BX44" s="1"/>
      <c r="BY44" s="47"/>
      <c r="BZ44" s="47"/>
      <c r="CA44" s="47"/>
      <c r="CB44" s="47"/>
      <c r="CC44" s="47"/>
      <c r="CD44" s="47"/>
      <c r="CE44" s="47"/>
      <c r="CF44" s="47"/>
      <c r="CG44" s="47"/>
      <c r="CH44" s="47"/>
      <c r="CI44" s="47"/>
      <c r="CJ44" s="47"/>
      <c r="CK44" s="65"/>
      <c r="CL44" s="47"/>
      <c r="CM44" s="47"/>
      <c r="CN44" s="47"/>
      <c r="CO44" s="47"/>
      <c r="CP44" s="47"/>
      <c r="CQ44" s="47"/>
      <c r="CR44" s="47"/>
      <c r="CS44" s="47"/>
      <c r="CT44" s="47"/>
      <c r="CU44" s="47"/>
      <c r="CV44" s="47"/>
      <c r="CW44" s="47"/>
      <c r="CX44" s="47"/>
      <c r="CY44" s="65"/>
      <c r="CZ44" s="11"/>
      <c r="DA44" s="47">
        <f t="shared" si="299"/>
        <v>128.9489</v>
      </c>
      <c r="DB44" s="47"/>
      <c r="DC44" s="47"/>
      <c r="DD44" s="47"/>
      <c r="DE44" s="47"/>
      <c r="DF44" s="47"/>
      <c r="DG44" s="47"/>
      <c r="DH44" s="47"/>
      <c r="DI44" s="47"/>
      <c r="DJ44" s="47"/>
      <c r="DK44" s="47"/>
      <c r="DL44" s="47"/>
      <c r="DM44" s="65">
        <f t="shared" si="300"/>
        <v>128.9489</v>
      </c>
      <c r="DN44" s="1"/>
      <c r="DO44" s="130"/>
      <c r="DP44" s="130"/>
      <c r="DQ44" s="131"/>
    </row>
    <row r="45" outlineLevel="2">
      <c r="A45" s="15"/>
      <c r="B45" s="123" t="s">
        <v>59</v>
      </c>
      <c r="C45" s="124"/>
      <c r="D45" s="47">
        <f t="shared" si="283"/>
        <v>0</v>
      </c>
      <c r="E45" s="47">
        <f t="shared" si="284"/>
        <v>0</v>
      </c>
      <c r="F45" s="47">
        <f t="shared" si="285"/>
        <v>0</v>
      </c>
      <c r="G45" s="47">
        <f t="shared" si="286"/>
        <v>0</v>
      </c>
      <c r="H45" s="48"/>
      <c r="I45" s="66">
        <f t="shared" si="240"/>
        <v>0</v>
      </c>
      <c r="J45" s="67">
        <f t="shared" si="241"/>
        <v>0</v>
      </c>
      <c r="K45" s="66">
        <f t="shared" si="242"/>
        <v>0</v>
      </c>
      <c r="L45" s="67">
        <f t="shared" si="243"/>
        <v>0</v>
      </c>
      <c r="M45" s="66">
        <f t="shared" si="244"/>
        <v>0</v>
      </c>
      <c r="N45" s="67">
        <f t="shared" si="245"/>
        <v>0</v>
      </c>
      <c r="O45" s="48"/>
      <c r="P45" s="47">
        <f t="shared" si="287"/>
        <v>0</v>
      </c>
      <c r="Q45" s="47">
        <f t="shared" si="288"/>
        <v>0</v>
      </c>
      <c r="R45" s="47">
        <f t="shared" si="289"/>
        <v>0</v>
      </c>
      <c r="S45" s="48"/>
      <c r="T45" s="66">
        <f t="shared" si="249"/>
        <v>0</v>
      </c>
      <c r="U45" s="67">
        <f t="shared" si="250"/>
        <v>0</v>
      </c>
      <c r="V45" s="66">
        <f t="shared" si="251"/>
        <v>0</v>
      </c>
      <c r="W45" s="67">
        <f t="shared" si="252"/>
        <v>0</v>
      </c>
      <c r="X45" s="48"/>
      <c r="Y45" s="47">
        <f t="shared" si="290"/>
        <v>0</v>
      </c>
      <c r="Z45" s="47">
        <f t="shared" si="291"/>
        <v>0</v>
      </c>
      <c r="AA45" s="47">
        <f t="shared" si="292"/>
        <v>0</v>
      </c>
      <c r="AB45" s="95" t="str">
        <f t="shared" si="293"/>
        <v/>
      </c>
      <c r="AC45" s="125"/>
      <c r="AD45" s="66">
        <f t="shared" si="257"/>
        <v>0</v>
      </c>
      <c r="AE45" s="67">
        <f t="shared" si="258"/>
        <v>0</v>
      </c>
      <c r="AF45" s="66">
        <f t="shared" si="259"/>
        <v>0</v>
      </c>
      <c r="AG45" s="67">
        <f t="shared" si="260"/>
        <v>0</v>
      </c>
      <c r="AH45" s="126"/>
      <c r="AI45" s="47" t="str">
        <f t="shared" si="294"/>
        <v/>
      </c>
      <c r="AJ45" s="47" t="str">
        <f t="shared" ref="AJ45:AT45" si="301">IFERROR(IF(AJ$3="A",CN45,IF(AJ$3="F",DB45,IF(AJ$3="B",BL45,0))),"")</f>
        <v/>
      </c>
      <c r="AK45" s="47" t="str">
        <f t="shared" si="301"/>
        <v/>
      </c>
      <c r="AL45" s="47" t="str">
        <f t="shared" si="301"/>
        <v/>
      </c>
      <c r="AM45" s="47" t="str">
        <f t="shared" si="301"/>
        <v/>
      </c>
      <c r="AN45" s="47" t="str">
        <f t="shared" si="301"/>
        <v/>
      </c>
      <c r="AO45" s="47" t="str">
        <f t="shared" si="301"/>
        <v/>
      </c>
      <c r="AP45" s="47" t="str">
        <f t="shared" si="301"/>
        <v/>
      </c>
      <c r="AQ45" s="47" t="str">
        <f t="shared" si="301"/>
        <v/>
      </c>
      <c r="AR45" s="47">
        <f t="shared" si="301"/>
        <v>0</v>
      </c>
      <c r="AS45" s="47">
        <f t="shared" si="301"/>
        <v>0</v>
      </c>
      <c r="AT45" s="47">
        <f t="shared" si="301"/>
        <v>0</v>
      </c>
      <c r="AU45" s="65">
        <f t="shared" si="296"/>
        <v>0</v>
      </c>
      <c r="AV45" s="127"/>
      <c r="AW45" s="47" t="str">
        <f t="shared" ref="AW45:BH45" si="302">IFERROR(IF(AW$3="A",CM45,IF(AW$3="B",BK45)),0)</f>
        <v/>
      </c>
      <c r="AX45" s="47" t="str">
        <f t="shared" si="302"/>
        <v/>
      </c>
      <c r="AY45" s="47" t="str">
        <f t="shared" si="302"/>
        <v/>
      </c>
      <c r="AZ45" s="47" t="str">
        <f t="shared" si="302"/>
        <v/>
      </c>
      <c r="BA45" s="47" t="str">
        <f t="shared" si="302"/>
        <v/>
      </c>
      <c r="BB45" s="47" t="str">
        <f t="shared" si="302"/>
        <v/>
      </c>
      <c r="BC45" s="47">
        <f t="shared" si="302"/>
        <v>0</v>
      </c>
      <c r="BD45" s="47">
        <f t="shared" si="302"/>
        <v>0</v>
      </c>
      <c r="BE45" s="47">
        <f t="shared" si="302"/>
        <v>0</v>
      </c>
      <c r="BF45" s="47">
        <f t="shared" si="302"/>
        <v>0</v>
      </c>
      <c r="BG45" s="47">
        <f t="shared" si="302"/>
        <v>0</v>
      </c>
      <c r="BH45" s="47">
        <f t="shared" si="302"/>
        <v>0</v>
      </c>
      <c r="BI45" s="65">
        <f t="shared" si="298"/>
        <v>0</v>
      </c>
      <c r="BJ45" s="126"/>
      <c r="BK45" s="128">
        <v>0.0</v>
      </c>
      <c r="BL45" s="128">
        <v>0.0</v>
      </c>
      <c r="BM45" s="128">
        <v>0.0</v>
      </c>
      <c r="BN45" s="128">
        <v>0.0</v>
      </c>
      <c r="BO45" s="128">
        <v>0.0</v>
      </c>
      <c r="BP45" s="128">
        <v>0.0</v>
      </c>
      <c r="BQ45" s="128">
        <v>0.0</v>
      </c>
      <c r="BR45" s="128">
        <v>0.0</v>
      </c>
      <c r="BS45" s="128">
        <v>0.0</v>
      </c>
      <c r="BT45" s="128">
        <v>0.0</v>
      </c>
      <c r="BU45" s="128">
        <v>0.0</v>
      </c>
      <c r="BV45" s="128">
        <v>0.0</v>
      </c>
      <c r="BW45" s="129">
        <v>0.0</v>
      </c>
      <c r="BX45" s="1"/>
      <c r="BY45" s="47"/>
      <c r="BZ45" s="47"/>
      <c r="CA45" s="47"/>
      <c r="CB45" s="47"/>
      <c r="CC45" s="47"/>
      <c r="CD45" s="47"/>
      <c r="CE45" s="47"/>
      <c r="CF45" s="47"/>
      <c r="CG45" s="47"/>
      <c r="CH45" s="47"/>
      <c r="CI45" s="47"/>
      <c r="CJ45" s="47"/>
      <c r="CK45" s="65"/>
      <c r="CL45" s="47"/>
      <c r="CM45" s="47"/>
      <c r="CN45" s="47"/>
      <c r="CO45" s="47"/>
      <c r="CP45" s="47"/>
      <c r="CQ45" s="47"/>
      <c r="CR45" s="47"/>
      <c r="CS45" s="47"/>
      <c r="CT45" s="47"/>
      <c r="CU45" s="47"/>
      <c r="CV45" s="47"/>
      <c r="CW45" s="47"/>
      <c r="CX45" s="47"/>
      <c r="CY45" s="65"/>
      <c r="CZ45" s="11"/>
      <c r="DA45" s="47">
        <f t="shared" si="299"/>
        <v>0</v>
      </c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7"/>
      <c r="DM45" s="65">
        <f t="shared" si="300"/>
        <v>0</v>
      </c>
      <c r="DN45" s="1"/>
      <c r="DO45" s="132"/>
      <c r="DP45" s="132"/>
      <c r="DQ45" s="131"/>
    </row>
    <row r="46" outlineLevel="2">
      <c r="A46" s="15"/>
      <c r="B46" s="123" t="s">
        <v>60</v>
      </c>
      <c r="C46" s="124"/>
      <c r="D46" s="47">
        <f t="shared" si="283"/>
        <v>0</v>
      </c>
      <c r="E46" s="47">
        <f t="shared" si="284"/>
        <v>0</v>
      </c>
      <c r="F46" s="47">
        <f t="shared" si="285"/>
        <v>0</v>
      </c>
      <c r="G46" s="47">
        <f t="shared" si="286"/>
        <v>0</v>
      </c>
      <c r="H46" s="48"/>
      <c r="I46" s="66">
        <f t="shared" si="240"/>
        <v>0</v>
      </c>
      <c r="J46" s="67">
        <f t="shared" si="241"/>
        <v>0</v>
      </c>
      <c r="K46" s="66">
        <f t="shared" si="242"/>
        <v>0</v>
      </c>
      <c r="L46" s="67">
        <f t="shared" si="243"/>
        <v>0</v>
      </c>
      <c r="M46" s="66">
        <f t="shared" si="244"/>
        <v>0</v>
      </c>
      <c r="N46" s="67">
        <f t="shared" si="245"/>
        <v>0</v>
      </c>
      <c r="O46" s="48"/>
      <c r="P46" s="47">
        <f t="shared" si="287"/>
        <v>0</v>
      </c>
      <c r="Q46" s="47">
        <f t="shared" si="288"/>
        <v>0</v>
      </c>
      <c r="R46" s="47">
        <f t="shared" si="289"/>
        <v>0</v>
      </c>
      <c r="S46" s="48"/>
      <c r="T46" s="66">
        <f t="shared" si="249"/>
        <v>0</v>
      </c>
      <c r="U46" s="67">
        <f t="shared" si="250"/>
        <v>0</v>
      </c>
      <c r="V46" s="66">
        <f t="shared" si="251"/>
        <v>0</v>
      </c>
      <c r="W46" s="67">
        <f t="shared" si="252"/>
        <v>0</v>
      </c>
      <c r="X46" s="48"/>
      <c r="Y46" s="47">
        <f t="shared" si="290"/>
        <v>0</v>
      </c>
      <c r="Z46" s="47">
        <f t="shared" si="291"/>
        <v>0</v>
      </c>
      <c r="AA46" s="47">
        <f t="shared" si="292"/>
        <v>0</v>
      </c>
      <c r="AB46" s="95" t="str">
        <f t="shared" si="293"/>
        <v/>
      </c>
      <c r="AC46" s="125"/>
      <c r="AD46" s="66">
        <f t="shared" si="257"/>
        <v>0</v>
      </c>
      <c r="AE46" s="67">
        <f t="shared" si="258"/>
        <v>0</v>
      </c>
      <c r="AF46" s="66">
        <f t="shared" si="259"/>
        <v>0</v>
      </c>
      <c r="AG46" s="67">
        <f t="shared" si="260"/>
        <v>0</v>
      </c>
      <c r="AH46" s="126"/>
      <c r="AI46" s="47" t="str">
        <f t="shared" si="294"/>
        <v/>
      </c>
      <c r="AJ46" s="47" t="str">
        <f t="shared" ref="AJ46:AT46" si="303">IFERROR(IF(AJ$3="A",CN46,IF(AJ$3="F",DB46,IF(AJ$3="B",BL46,0))),"")</f>
        <v/>
      </c>
      <c r="AK46" s="47" t="str">
        <f t="shared" si="303"/>
        <v/>
      </c>
      <c r="AL46" s="47" t="str">
        <f t="shared" si="303"/>
        <v/>
      </c>
      <c r="AM46" s="47" t="str">
        <f t="shared" si="303"/>
        <v/>
      </c>
      <c r="AN46" s="47" t="str">
        <f t="shared" si="303"/>
        <v/>
      </c>
      <c r="AO46" s="47" t="str">
        <f t="shared" si="303"/>
        <v/>
      </c>
      <c r="AP46" s="47" t="str">
        <f t="shared" si="303"/>
        <v/>
      </c>
      <c r="AQ46" s="47" t="str">
        <f t="shared" si="303"/>
        <v/>
      </c>
      <c r="AR46" s="47">
        <f t="shared" si="303"/>
        <v>0</v>
      </c>
      <c r="AS46" s="47">
        <f t="shared" si="303"/>
        <v>0</v>
      </c>
      <c r="AT46" s="47">
        <f t="shared" si="303"/>
        <v>0</v>
      </c>
      <c r="AU46" s="65">
        <f t="shared" si="296"/>
        <v>0</v>
      </c>
      <c r="AV46" s="127"/>
      <c r="AW46" s="47" t="str">
        <f t="shared" ref="AW46:BH46" si="304">IFERROR(IF(AW$3="A",CM46,IF(AW$3="B",BK46)),0)</f>
        <v/>
      </c>
      <c r="AX46" s="47" t="str">
        <f t="shared" si="304"/>
        <v/>
      </c>
      <c r="AY46" s="47" t="str">
        <f t="shared" si="304"/>
        <v/>
      </c>
      <c r="AZ46" s="47" t="str">
        <f t="shared" si="304"/>
        <v/>
      </c>
      <c r="BA46" s="47" t="str">
        <f t="shared" si="304"/>
        <v/>
      </c>
      <c r="BB46" s="47" t="str">
        <f t="shared" si="304"/>
        <v/>
      </c>
      <c r="BC46" s="47">
        <f t="shared" si="304"/>
        <v>0</v>
      </c>
      <c r="BD46" s="47">
        <f t="shared" si="304"/>
        <v>0</v>
      </c>
      <c r="BE46" s="47">
        <f t="shared" si="304"/>
        <v>0</v>
      </c>
      <c r="BF46" s="47">
        <f t="shared" si="304"/>
        <v>0</v>
      </c>
      <c r="BG46" s="47">
        <f t="shared" si="304"/>
        <v>0</v>
      </c>
      <c r="BH46" s="47">
        <f t="shared" si="304"/>
        <v>0</v>
      </c>
      <c r="BI46" s="65">
        <f t="shared" si="298"/>
        <v>0</v>
      </c>
      <c r="BJ46" s="126"/>
      <c r="BK46" s="128">
        <v>0.0</v>
      </c>
      <c r="BL46" s="128">
        <v>0.0</v>
      </c>
      <c r="BM46" s="128">
        <v>0.0</v>
      </c>
      <c r="BN46" s="128">
        <v>0.0</v>
      </c>
      <c r="BO46" s="128">
        <v>0.0</v>
      </c>
      <c r="BP46" s="128">
        <v>0.0</v>
      </c>
      <c r="BQ46" s="128">
        <v>0.0</v>
      </c>
      <c r="BR46" s="128">
        <v>0.0</v>
      </c>
      <c r="BS46" s="128">
        <v>0.0</v>
      </c>
      <c r="BT46" s="128">
        <v>0.0</v>
      </c>
      <c r="BU46" s="128">
        <v>0.0</v>
      </c>
      <c r="BV46" s="128">
        <v>0.0</v>
      </c>
      <c r="BW46" s="129">
        <v>0.0</v>
      </c>
      <c r="BX46" s="1"/>
      <c r="BY46" s="47"/>
      <c r="BZ46" s="47"/>
      <c r="CA46" s="47"/>
      <c r="CB46" s="47"/>
      <c r="CC46" s="47"/>
      <c r="CD46" s="47"/>
      <c r="CE46" s="47"/>
      <c r="CF46" s="47"/>
      <c r="CG46" s="47"/>
      <c r="CH46" s="47"/>
      <c r="CI46" s="47"/>
      <c r="CJ46" s="47"/>
      <c r="CK46" s="65"/>
      <c r="CL46" s="47"/>
      <c r="CM46" s="47"/>
      <c r="CN46" s="47"/>
      <c r="CO46" s="47"/>
      <c r="CP46" s="47"/>
      <c r="CQ46" s="47"/>
      <c r="CR46" s="47"/>
      <c r="CS46" s="47"/>
      <c r="CT46" s="47"/>
      <c r="CU46" s="47"/>
      <c r="CV46" s="47"/>
      <c r="CW46" s="47"/>
      <c r="CX46" s="47"/>
      <c r="CY46" s="65"/>
      <c r="CZ46" s="11"/>
      <c r="DA46" s="47">
        <f t="shared" si="299"/>
        <v>0</v>
      </c>
      <c r="DB46" s="47"/>
      <c r="DC46" s="47"/>
      <c r="DD46" s="47"/>
      <c r="DE46" s="47"/>
      <c r="DF46" s="47"/>
      <c r="DG46" s="47"/>
      <c r="DH46" s="47"/>
      <c r="DI46" s="47"/>
      <c r="DJ46" s="47"/>
      <c r="DK46" s="47"/>
      <c r="DL46" s="47"/>
      <c r="DM46" s="65">
        <f t="shared" si="300"/>
        <v>0</v>
      </c>
      <c r="DN46" s="1"/>
      <c r="DO46" s="132"/>
      <c r="DP46" s="132"/>
      <c r="DQ46" s="131"/>
    </row>
    <row r="47" outlineLevel="2">
      <c r="A47" s="15"/>
      <c r="B47" s="123" t="s">
        <v>61</v>
      </c>
      <c r="C47" s="124"/>
      <c r="D47" s="47">
        <f t="shared" si="283"/>
        <v>0</v>
      </c>
      <c r="E47" s="47">
        <f t="shared" si="284"/>
        <v>0</v>
      </c>
      <c r="F47" s="47">
        <f t="shared" si="285"/>
        <v>0</v>
      </c>
      <c r="G47" s="47">
        <f t="shared" si="286"/>
        <v>0</v>
      </c>
      <c r="H47" s="48"/>
      <c r="I47" s="66">
        <f t="shared" si="240"/>
        <v>0</v>
      </c>
      <c r="J47" s="67">
        <f t="shared" si="241"/>
        <v>0</v>
      </c>
      <c r="K47" s="66">
        <f t="shared" si="242"/>
        <v>0</v>
      </c>
      <c r="L47" s="67">
        <f t="shared" si="243"/>
        <v>0</v>
      </c>
      <c r="M47" s="66">
        <f t="shared" si="244"/>
        <v>0</v>
      </c>
      <c r="N47" s="67">
        <f t="shared" si="245"/>
        <v>0</v>
      </c>
      <c r="O47" s="48"/>
      <c r="P47" s="47">
        <f t="shared" si="287"/>
        <v>0</v>
      </c>
      <c r="Q47" s="47">
        <f t="shared" si="288"/>
        <v>0</v>
      </c>
      <c r="R47" s="47">
        <f t="shared" si="289"/>
        <v>0</v>
      </c>
      <c r="S47" s="48"/>
      <c r="T47" s="66">
        <f t="shared" si="249"/>
        <v>0</v>
      </c>
      <c r="U47" s="67">
        <f t="shared" si="250"/>
        <v>0</v>
      </c>
      <c r="V47" s="66">
        <f t="shared" si="251"/>
        <v>0</v>
      </c>
      <c r="W47" s="67">
        <f t="shared" si="252"/>
        <v>0</v>
      </c>
      <c r="X47" s="48"/>
      <c r="Y47" s="47">
        <f t="shared" si="290"/>
        <v>0</v>
      </c>
      <c r="Z47" s="47">
        <f t="shared" si="291"/>
        <v>0</v>
      </c>
      <c r="AA47" s="47">
        <f t="shared" si="292"/>
        <v>0</v>
      </c>
      <c r="AB47" s="95" t="str">
        <f t="shared" si="293"/>
        <v/>
      </c>
      <c r="AC47" s="125"/>
      <c r="AD47" s="66">
        <f t="shared" si="257"/>
        <v>0</v>
      </c>
      <c r="AE47" s="67">
        <f t="shared" si="258"/>
        <v>0</v>
      </c>
      <c r="AF47" s="66">
        <f t="shared" si="259"/>
        <v>0</v>
      </c>
      <c r="AG47" s="67">
        <f t="shared" si="260"/>
        <v>0</v>
      </c>
      <c r="AH47" s="126"/>
      <c r="AI47" s="47" t="str">
        <f t="shared" si="294"/>
        <v/>
      </c>
      <c r="AJ47" s="47" t="str">
        <f t="shared" ref="AJ47:AT47" si="305">IFERROR(IF(AJ$3="A",CN47,IF(AJ$3="F",DB47,IF(AJ$3="B",BL47,0))),"")</f>
        <v/>
      </c>
      <c r="AK47" s="47" t="str">
        <f t="shared" si="305"/>
        <v/>
      </c>
      <c r="AL47" s="47" t="str">
        <f t="shared" si="305"/>
        <v/>
      </c>
      <c r="AM47" s="47" t="str">
        <f t="shared" si="305"/>
        <v/>
      </c>
      <c r="AN47" s="47" t="str">
        <f t="shared" si="305"/>
        <v/>
      </c>
      <c r="AO47" s="47" t="str">
        <f t="shared" si="305"/>
        <v/>
      </c>
      <c r="AP47" s="47" t="str">
        <f t="shared" si="305"/>
        <v/>
      </c>
      <c r="AQ47" s="47" t="str">
        <f t="shared" si="305"/>
        <v/>
      </c>
      <c r="AR47" s="47">
        <f t="shared" si="305"/>
        <v>0</v>
      </c>
      <c r="AS47" s="47">
        <f t="shared" si="305"/>
        <v>0</v>
      </c>
      <c r="AT47" s="47">
        <f t="shared" si="305"/>
        <v>0</v>
      </c>
      <c r="AU47" s="65">
        <f t="shared" si="296"/>
        <v>0</v>
      </c>
      <c r="AV47" s="127"/>
      <c r="AW47" s="47" t="str">
        <f t="shared" ref="AW47:BH47" si="306">IFERROR(IF(AW$3="A",CM47,IF(AW$3="B",BK47)),0)</f>
        <v/>
      </c>
      <c r="AX47" s="47" t="str">
        <f t="shared" si="306"/>
        <v/>
      </c>
      <c r="AY47" s="47" t="str">
        <f t="shared" si="306"/>
        <v/>
      </c>
      <c r="AZ47" s="47" t="str">
        <f t="shared" si="306"/>
        <v/>
      </c>
      <c r="BA47" s="47" t="str">
        <f t="shared" si="306"/>
        <v/>
      </c>
      <c r="BB47" s="47" t="str">
        <f t="shared" si="306"/>
        <v/>
      </c>
      <c r="BC47" s="47">
        <f t="shared" si="306"/>
        <v>0</v>
      </c>
      <c r="BD47" s="47">
        <f t="shared" si="306"/>
        <v>0</v>
      </c>
      <c r="BE47" s="47">
        <f t="shared" si="306"/>
        <v>0</v>
      </c>
      <c r="BF47" s="47">
        <f t="shared" si="306"/>
        <v>0</v>
      </c>
      <c r="BG47" s="47">
        <f t="shared" si="306"/>
        <v>0</v>
      </c>
      <c r="BH47" s="47">
        <f t="shared" si="306"/>
        <v>0</v>
      </c>
      <c r="BI47" s="65">
        <f t="shared" si="298"/>
        <v>0</v>
      </c>
      <c r="BJ47" s="126"/>
      <c r="BK47" s="128">
        <v>0.0</v>
      </c>
      <c r="BL47" s="128">
        <v>0.0</v>
      </c>
      <c r="BM47" s="128">
        <v>0.0</v>
      </c>
      <c r="BN47" s="128">
        <v>0.0</v>
      </c>
      <c r="BO47" s="128">
        <v>0.0</v>
      </c>
      <c r="BP47" s="128">
        <v>0.0</v>
      </c>
      <c r="BQ47" s="128">
        <v>0.0</v>
      </c>
      <c r="BR47" s="128">
        <v>0.0</v>
      </c>
      <c r="BS47" s="128">
        <v>0.0</v>
      </c>
      <c r="BT47" s="128">
        <v>0.0</v>
      </c>
      <c r="BU47" s="128">
        <v>0.0</v>
      </c>
      <c r="BV47" s="128">
        <v>0.0</v>
      </c>
      <c r="BW47" s="129">
        <v>0.0</v>
      </c>
      <c r="BX47" s="1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65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65"/>
      <c r="CZ47" s="11"/>
      <c r="DA47" s="47">
        <f t="shared" si="299"/>
        <v>0</v>
      </c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65">
        <f t="shared" si="300"/>
        <v>0</v>
      </c>
      <c r="DN47" s="1"/>
      <c r="DO47" s="132"/>
      <c r="DP47" s="132"/>
      <c r="DQ47" s="131"/>
    </row>
    <row r="48" outlineLevel="1">
      <c r="A48" s="15"/>
      <c r="B48" s="133" t="s">
        <v>62</v>
      </c>
      <c r="C48" s="124"/>
      <c r="D48" s="57">
        <f t="shared" ref="D48:G48" si="307">SUM(D43:D47)</f>
        <v>0</v>
      </c>
      <c r="E48" s="57">
        <f t="shared" si="307"/>
        <v>0</v>
      </c>
      <c r="F48" s="57">
        <f t="shared" si="307"/>
        <v>653.7143</v>
      </c>
      <c r="G48" s="57">
        <f t="shared" si="307"/>
        <v>0</v>
      </c>
      <c r="H48" s="125"/>
      <c r="I48" s="75">
        <f t="shared" si="240"/>
        <v>0</v>
      </c>
      <c r="J48" s="60">
        <f t="shared" si="241"/>
        <v>0</v>
      </c>
      <c r="K48" s="75">
        <f t="shared" si="242"/>
        <v>-653.7143</v>
      </c>
      <c r="L48" s="60">
        <f t="shared" si="243"/>
        <v>-1</v>
      </c>
      <c r="M48" s="75">
        <f t="shared" si="244"/>
        <v>0</v>
      </c>
      <c r="N48" s="60">
        <f t="shared" si="245"/>
        <v>0</v>
      </c>
      <c r="O48" s="125"/>
      <c r="P48" s="57">
        <f t="shared" ref="P48:R48" si="308">SUM(P43:P47)</f>
        <v>0</v>
      </c>
      <c r="Q48" s="57">
        <f t="shared" si="308"/>
        <v>3272.197</v>
      </c>
      <c r="R48" s="57">
        <f t="shared" si="308"/>
        <v>0</v>
      </c>
      <c r="S48" s="125"/>
      <c r="T48" s="75">
        <f t="shared" si="249"/>
        <v>-3272.197</v>
      </c>
      <c r="U48" s="60">
        <f t="shared" si="250"/>
        <v>-1</v>
      </c>
      <c r="V48" s="75">
        <f t="shared" si="251"/>
        <v>0</v>
      </c>
      <c r="W48" s="60">
        <f t="shared" si="252"/>
        <v>0</v>
      </c>
      <c r="X48" s="125"/>
      <c r="Y48" s="57">
        <f t="shared" ref="Y48:AB48" si="309">SUM(Y43:Y47)</f>
        <v>1813.5473</v>
      </c>
      <c r="Z48" s="57">
        <f t="shared" si="309"/>
        <v>4705.3439</v>
      </c>
      <c r="AA48" s="57">
        <f t="shared" si="309"/>
        <v>7977.5411</v>
      </c>
      <c r="AB48" s="57">
        <f t="shared" si="309"/>
        <v>0</v>
      </c>
      <c r="AC48" s="125"/>
      <c r="AD48" s="75">
        <f t="shared" si="257"/>
        <v>-6163.9938</v>
      </c>
      <c r="AE48" s="60">
        <f t="shared" si="258"/>
        <v>-0.7726683852</v>
      </c>
      <c r="AF48" s="75">
        <f t="shared" si="259"/>
        <v>1813.5473</v>
      </c>
      <c r="AG48" s="60">
        <f t="shared" si="260"/>
        <v>0</v>
      </c>
      <c r="AH48" s="134"/>
      <c r="AI48" s="57">
        <f t="shared" ref="AI48:AU48" si="310">SUM(AI43:AI47)</f>
        <v>0</v>
      </c>
      <c r="AJ48" s="57">
        <f t="shared" si="310"/>
        <v>0</v>
      </c>
      <c r="AK48" s="57">
        <f t="shared" si="310"/>
        <v>0</v>
      </c>
      <c r="AL48" s="57">
        <f t="shared" si="310"/>
        <v>0</v>
      </c>
      <c r="AM48" s="57">
        <f t="shared" si="310"/>
        <v>0</v>
      </c>
      <c r="AN48" s="57">
        <f t="shared" si="310"/>
        <v>0</v>
      </c>
      <c r="AO48" s="57">
        <f t="shared" si="310"/>
        <v>0</v>
      </c>
      <c r="AP48" s="57">
        <f t="shared" si="310"/>
        <v>0</v>
      </c>
      <c r="AQ48" s="57">
        <f t="shared" si="310"/>
        <v>0</v>
      </c>
      <c r="AR48" s="57">
        <f t="shared" si="310"/>
        <v>854.7585</v>
      </c>
      <c r="AS48" s="57">
        <f t="shared" si="310"/>
        <v>445</v>
      </c>
      <c r="AT48" s="57">
        <f t="shared" si="310"/>
        <v>513.7888</v>
      </c>
      <c r="AU48" s="57">
        <f t="shared" si="310"/>
        <v>1813.5473</v>
      </c>
      <c r="AV48" s="127"/>
      <c r="AW48" s="57">
        <f t="shared" ref="AW48:BI48" si="311">SUM(AW43:AW47)</f>
        <v>0</v>
      </c>
      <c r="AX48" s="57">
        <f t="shared" si="311"/>
        <v>0</v>
      </c>
      <c r="AY48" s="57">
        <f t="shared" si="311"/>
        <v>0</v>
      </c>
      <c r="AZ48" s="57">
        <f t="shared" si="311"/>
        <v>0</v>
      </c>
      <c r="BA48" s="57">
        <f t="shared" si="311"/>
        <v>0</v>
      </c>
      <c r="BB48" s="57">
        <f t="shared" si="311"/>
        <v>0</v>
      </c>
      <c r="BC48" s="57">
        <f t="shared" si="311"/>
        <v>1054.0174</v>
      </c>
      <c r="BD48" s="57">
        <f t="shared" si="311"/>
        <v>976.7388</v>
      </c>
      <c r="BE48" s="57">
        <f t="shared" si="311"/>
        <v>861.0404</v>
      </c>
      <c r="BF48" s="57">
        <f t="shared" si="311"/>
        <v>854.7585</v>
      </c>
      <c r="BG48" s="57">
        <f t="shared" si="311"/>
        <v>445</v>
      </c>
      <c r="BH48" s="57">
        <f t="shared" si="311"/>
        <v>513.7888</v>
      </c>
      <c r="BI48" s="57">
        <f t="shared" si="311"/>
        <v>4705.3439</v>
      </c>
      <c r="BJ48" s="134"/>
      <c r="BK48" s="135">
        <v>607.5702</v>
      </c>
      <c r="BL48" s="135">
        <v>602.7</v>
      </c>
      <c r="BM48" s="135">
        <v>404.1271</v>
      </c>
      <c r="BN48" s="135">
        <v>480.0855</v>
      </c>
      <c r="BO48" s="135">
        <v>524.0</v>
      </c>
      <c r="BP48" s="135">
        <v>653.7143</v>
      </c>
      <c r="BQ48" s="135">
        <v>1054.0174</v>
      </c>
      <c r="BR48" s="135">
        <v>976.7389</v>
      </c>
      <c r="BS48" s="135">
        <v>861.0404</v>
      </c>
      <c r="BT48" s="135">
        <v>854.7585</v>
      </c>
      <c r="BU48" s="135">
        <v>445.0</v>
      </c>
      <c r="BV48" s="135">
        <v>513.7888</v>
      </c>
      <c r="BW48" s="135">
        <v>7977.541</v>
      </c>
      <c r="BX48" s="58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47"/>
      <c r="DA48" s="57">
        <f>SUM(DA43:DA47)</f>
        <v>607.5702</v>
      </c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>
        <f>SUM(DM43:DM47)</f>
        <v>607.5702</v>
      </c>
      <c r="DN48" s="58"/>
      <c r="DO48" s="136"/>
      <c r="DP48" s="136"/>
      <c r="DQ48" s="131"/>
    </row>
    <row r="49" outlineLevel="2">
      <c r="A49" s="15"/>
      <c r="B49" s="123" t="s">
        <v>63</v>
      </c>
      <c r="C49" s="124"/>
      <c r="D49" s="47">
        <f t="shared" ref="D49:D51" si="314">SUMIFS($CM49:$CX49,$CM$35:$CX$35,$D$2)</f>
        <v>0</v>
      </c>
      <c r="E49" s="47">
        <f t="shared" ref="E49:E51" si="315">SUMIFS($DA49:$DM49,$DA$35:$DM$35,$D$2)</f>
        <v>0</v>
      </c>
      <c r="F49" s="47">
        <f t="shared" ref="F49:F51" si="316">SUMIFS($BK49:$BV49,$BK$35:$BV$35,$D$2)</f>
        <v>0</v>
      </c>
      <c r="G49" s="47">
        <f t="shared" ref="G49:G51" si="317">SUMIFS($BY49:$CJ49,$BY$35:$CJ$35,$D$2)</f>
        <v>0</v>
      </c>
      <c r="H49" s="48"/>
      <c r="I49" s="66">
        <f t="shared" si="240"/>
        <v>0</v>
      </c>
      <c r="J49" s="67">
        <f t="shared" si="241"/>
        <v>0</v>
      </c>
      <c r="K49" s="66">
        <f t="shared" si="242"/>
        <v>0</v>
      </c>
      <c r="L49" s="67">
        <f t="shared" si="243"/>
        <v>0</v>
      </c>
      <c r="M49" s="66">
        <f t="shared" si="244"/>
        <v>0</v>
      </c>
      <c r="N49" s="67">
        <f t="shared" si="245"/>
        <v>0</v>
      </c>
      <c r="O49" s="48"/>
      <c r="P49" s="47">
        <f t="shared" ref="P49:P51" si="318">SUMIFS($CM49:$CX49,$CM$35:$CX$35,$P$2)</f>
        <v>0</v>
      </c>
      <c r="Q49" s="47">
        <f t="shared" ref="Q49:Q51" si="319">SUMIFS($BK49:$BV49,$BK$35:$BV$35,$P$2)</f>
        <v>0</v>
      </c>
      <c r="R49" s="47">
        <f t="shared" ref="R49:R51" si="320">SUMIFS($BY49:$CJ49,$BY$35:$CJ$35,$P$2)</f>
        <v>0</v>
      </c>
      <c r="S49" s="48"/>
      <c r="T49" s="66">
        <f t="shared" si="249"/>
        <v>0</v>
      </c>
      <c r="U49" s="67">
        <f t="shared" si="250"/>
        <v>0</v>
      </c>
      <c r="V49" s="66">
        <f t="shared" si="251"/>
        <v>0</v>
      </c>
      <c r="W49" s="67">
        <f t="shared" si="252"/>
        <v>0</v>
      </c>
      <c r="X49" s="48"/>
      <c r="Y49" s="47">
        <f t="shared" ref="Y49:Y51" si="321">$AU49</f>
        <v>0</v>
      </c>
      <c r="Z49" s="47">
        <f t="shared" ref="Z49:Z51" si="322">$BI49</f>
        <v>0</v>
      </c>
      <c r="AA49" s="47">
        <f t="shared" ref="AA49:AA51" si="323">$BW49</f>
        <v>0</v>
      </c>
      <c r="AB49" s="95" t="str">
        <f t="shared" ref="AB49:AB51" si="324">$CK49</f>
        <v/>
      </c>
      <c r="AC49" s="125"/>
      <c r="AD49" s="66">
        <f t="shared" si="257"/>
        <v>0</v>
      </c>
      <c r="AE49" s="67">
        <f t="shared" si="258"/>
        <v>0</v>
      </c>
      <c r="AF49" s="66">
        <f t="shared" si="259"/>
        <v>0</v>
      </c>
      <c r="AG49" s="67">
        <f t="shared" si="260"/>
        <v>0</v>
      </c>
      <c r="AH49" s="126"/>
      <c r="AI49" s="47" t="str">
        <f t="shared" ref="AI49:AI51" si="325">IFERROR(IF(AI$3="A",CM49,IF(AI$3="F",DA49)),0)</f>
        <v/>
      </c>
      <c r="AJ49" s="47" t="str">
        <f t="shared" ref="AJ49:AT49" si="312">IFERROR(IF(AJ$3="A",CN49,IF(AJ$3="F",DB49,IF(AJ$3="B",BL49,0))),"")</f>
        <v/>
      </c>
      <c r="AK49" s="47" t="str">
        <f t="shared" si="312"/>
        <v/>
      </c>
      <c r="AL49" s="47" t="str">
        <f t="shared" si="312"/>
        <v/>
      </c>
      <c r="AM49" s="47" t="str">
        <f t="shared" si="312"/>
        <v/>
      </c>
      <c r="AN49" s="47" t="str">
        <f t="shared" si="312"/>
        <v/>
      </c>
      <c r="AO49" s="47" t="str">
        <f t="shared" si="312"/>
        <v/>
      </c>
      <c r="AP49" s="47" t="str">
        <f t="shared" si="312"/>
        <v/>
      </c>
      <c r="AQ49" s="47" t="str">
        <f t="shared" si="312"/>
        <v/>
      </c>
      <c r="AR49" s="47" t="str">
        <f t="shared" si="312"/>
        <v/>
      </c>
      <c r="AS49" s="47" t="str">
        <f t="shared" si="312"/>
        <v/>
      </c>
      <c r="AT49" s="47" t="str">
        <f t="shared" si="312"/>
        <v/>
      </c>
      <c r="AU49" s="65">
        <f t="shared" ref="AU49:AU51" si="327">SUM(AI49:AT49)</f>
        <v>0</v>
      </c>
      <c r="AV49" s="127"/>
      <c r="AW49" s="47" t="str">
        <f t="shared" ref="AW49:BH49" si="313">IFERROR(IF(AW$3="A",CM49,IF(AW$3="B",BK49)),0)</f>
        <v/>
      </c>
      <c r="AX49" s="47" t="str">
        <f t="shared" si="313"/>
        <v/>
      </c>
      <c r="AY49" s="47" t="str">
        <f t="shared" si="313"/>
        <v/>
      </c>
      <c r="AZ49" s="47" t="str">
        <f t="shared" si="313"/>
        <v/>
      </c>
      <c r="BA49" s="47" t="str">
        <f t="shared" si="313"/>
        <v/>
      </c>
      <c r="BB49" s="47" t="str">
        <f t="shared" si="313"/>
        <v/>
      </c>
      <c r="BC49" s="47" t="str">
        <f t="shared" si="313"/>
        <v/>
      </c>
      <c r="BD49" s="47" t="str">
        <f t="shared" si="313"/>
        <v/>
      </c>
      <c r="BE49" s="47" t="str">
        <f t="shared" si="313"/>
        <v/>
      </c>
      <c r="BF49" s="47" t="str">
        <f t="shared" si="313"/>
        <v/>
      </c>
      <c r="BG49" s="47" t="str">
        <f t="shared" si="313"/>
        <v/>
      </c>
      <c r="BH49" s="47" t="str">
        <f t="shared" si="313"/>
        <v/>
      </c>
      <c r="BI49" s="65">
        <f t="shared" ref="BI49:BI51" si="329">SUM(AW49:BH49)</f>
        <v>0</v>
      </c>
      <c r="BJ49" s="126"/>
      <c r="BK49" s="47"/>
      <c r="BL49" s="47"/>
      <c r="BM49" s="47"/>
      <c r="BN49" s="47"/>
      <c r="BO49" s="47"/>
      <c r="BP49" s="47"/>
      <c r="BQ49" s="47"/>
      <c r="BR49" s="47"/>
      <c r="BS49" s="47"/>
      <c r="BT49" s="47"/>
      <c r="BU49" s="47"/>
      <c r="BV49" s="47"/>
      <c r="BW49" s="129">
        <v>0.0</v>
      </c>
      <c r="BX49" s="58"/>
      <c r="BY49" s="47"/>
      <c r="BZ49" s="47"/>
      <c r="CA49" s="47"/>
      <c r="CB49" s="47"/>
      <c r="CC49" s="47"/>
      <c r="CD49" s="47"/>
      <c r="CE49" s="47"/>
      <c r="CF49" s="47"/>
      <c r="CG49" s="47"/>
      <c r="CH49" s="47"/>
      <c r="CI49" s="47"/>
      <c r="CJ49" s="47"/>
      <c r="CK49" s="65"/>
      <c r="CL49" s="47"/>
      <c r="CM49" s="47"/>
      <c r="CN49" s="47"/>
      <c r="CO49" s="47"/>
      <c r="CP49" s="47"/>
      <c r="CQ49" s="47"/>
      <c r="CR49" s="47"/>
      <c r="CS49" s="47"/>
      <c r="CT49" s="47"/>
      <c r="CU49" s="47"/>
      <c r="CV49" s="47"/>
      <c r="CW49" s="47"/>
      <c r="CX49" s="47"/>
      <c r="CY49" s="65"/>
      <c r="CZ49" s="47"/>
      <c r="DA49" s="95" t="str">
        <f t="shared" ref="DA49:DA51" si="330">BK49</f>
        <v/>
      </c>
      <c r="DB49" s="95"/>
      <c r="DC49" s="95"/>
      <c r="DD49" s="95"/>
      <c r="DE49" s="95"/>
      <c r="DF49" s="95"/>
      <c r="DG49" s="95"/>
      <c r="DH49" s="95"/>
      <c r="DI49" s="95"/>
      <c r="DJ49" s="95"/>
      <c r="DK49" s="95"/>
      <c r="DL49" s="95"/>
      <c r="DM49" s="65">
        <f t="shared" ref="DM49:DM51" si="331">SUM(DA49:DL49)</f>
        <v>0</v>
      </c>
      <c r="DN49" s="58"/>
      <c r="DO49" s="137"/>
      <c r="DP49" s="137"/>
      <c r="DQ49" s="131"/>
    </row>
    <row r="50" outlineLevel="2">
      <c r="A50" s="15"/>
      <c r="B50" s="123" t="s">
        <v>64</v>
      </c>
      <c r="C50" s="124"/>
      <c r="D50" s="47">
        <f t="shared" si="314"/>
        <v>0</v>
      </c>
      <c r="E50" s="47">
        <f t="shared" si="315"/>
        <v>0</v>
      </c>
      <c r="F50" s="47">
        <f t="shared" si="316"/>
        <v>0</v>
      </c>
      <c r="G50" s="47">
        <f t="shared" si="317"/>
        <v>0</v>
      </c>
      <c r="H50" s="48"/>
      <c r="I50" s="66">
        <f t="shared" si="240"/>
        <v>0</v>
      </c>
      <c r="J50" s="67">
        <f t="shared" si="241"/>
        <v>0</v>
      </c>
      <c r="K50" s="66">
        <f t="shared" si="242"/>
        <v>0</v>
      </c>
      <c r="L50" s="67">
        <f t="shared" si="243"/>
        <v>0</v>
      </c>
      <c r="M50" s="66">
        <f t="shared" si="244"/>
        <v>0</v>
      </c>
      <c r="N50" s="67">
        <f t="shared" si="245"/>
        <v>0</v>
      </c>
      <c r="O50" s="48"/>
      <c r="P50" s="47">
        <f t="shared" si="318"/>
        <v>0</v>
      </c>
      <c r="Q50" s="47">
        <f t="shared" si="319"/>
        <v>0</v>
      </c>
      <c r="R50" s="47">
        <f t="shared" si="320"/>
        <v>0</v>
      </c>
      <c r="S50" s="48"/>
      <c r="T50" s="66">
        <f t="shared" si="249"/>
        <v>0</v>
      </c>
      <c r="U50" s="67">
        <f t="shared" si="250"/>
        <v>0</v>
      </c>
      <c r="V50" s="66">
        <f t="shared" si="251"/>
        <v>0</v>
      </c>
      <c r="W50" s="67">
        <f t="shared" si="252"/>
        <v>0</v>
      </c>
      <c r="X50" s="48"/>
      <c r="Y50" s="47">
        <f t="shared" si="321"/>
        <v>0</v>
      </c>
      <c r="Z50" s="47">
        <f t="shared" si="322"/>
        <v>0</v>
      </c>
      <c r="AA50" s="47">
        <f t="shared" si="323"/>
        <v>0</v>
      </c>
      <c r="AB50" s="95" t="str">
        <f t="shared" si="324"/>
        <v/>
      </c>
      <c r="AC50" s="125"/>
      <c r="AD50" s="66">
        <f t="shared" si="257"/>
        <v>0</v>
      </c>
      <c r="AE50" s="67">
        <f t="shared" si="258"/>
        <v>0</v>
      </c>
      <c r="AF50" s="66">
        <f t="shared" si="259"/>
        <v>0</v>
      </c>
      <c r="AG50" s="67">
        <f t="shared" si="260"/>
        <v>0</v>
      </c>
      <c r="AH50" s="126"/>
      <c r="AI50" s="47" t="str">
        <f t="shared" si="325"/>
        <v/>
      </c>
      <c r="AJ50" s="47" t="str">
        <f t="shared" ref="AJ50:AT50" si="326">IFERROR(IF(AJ$3="A",CN50,IF(AJ$3="F",DB50,IF(AJ$3="B",BL50,0))),"")</f>
        <v/>
      </c>
      <c r="AK50" s="47" t="str">
        <f t="shared" si="326"/>
        <v/>
      </c>
      <c r="AL50" s="47" t="str">
        <f t="shared" si="326"/>
        <v/>
      </c>
      <c r="AM50" s="47" t="str">
        <f t="shared" si="326"/>
        <v/>
      </c>
      <c r="AN50" s="47" t="str">
        <f t="shared" si="326"/>
        <v/>
      </c>
      <c r="AO50" s="47" t="str">
        <f t="shared" si="326"/>
        <v/>
      </c>
      <c r="AP50" s="47" t="str">
        <f t="shared" si="326"/>
        <v/>
      </c>
      <c r="AQ50" s="47" t="str">
        <f t="shared" si="326"/>
        <v/>
      </c>
      <c r="AR50" s="47" t="str">
        <f t="shared" si="326"/>
        <v/>
      </c>
      <c r="AS50" s="47" t="str">
        <f t="shared" si="326"/>
        <v/>
      </c>
      <c r="AT50" s="47" t="str">
        <f t="shared" si="326"/>
        <v/>
      </c>
      <c r="AU50" s="65">
        <f t="shared" si="327"/>
        <v>0</v>
      </c>
      <c r="AV50" s="127"/>
      <c r="AW50" s="47" t="str">
        <f t="shared" ref="AW50:BH50" si="328">IFERROR(IF(AW$3="A",CM50,IF(AW$3="B",BK50)),0)</f>
        <v/>
      </c>
      <c r="AX50" s="47" t="str">
        <f t="shared" si="328"/>
        <v/>
      </c>
      <c r="AY50" s="47" t="str">
        <f t="shared" si="328"/>
        <v/>
      </c>
      <c r="AZ50" s="47" t="str">
        <f t="shared" si="328"/>
        <v/>
      </c>
      <c r="BA50" s="47" t="str">
        <f t="shared" si="328"/>
        <v/>
      </c>
      <c r="BB50" s="47" t="str">
        <f t="shared" si="328"/>
        <v/>
      </c>
      <c r="BC50" s="47" t="str">
        <f t="shared" si="328"/>
        <v/>
      </c>
      <c r="BD50" s="47" t="str">
        <f t="shared" si="328"/>
        <v/>
      </c>
      <c r="BE50" s="47" t="str">
        <f t="shared" si="328"/>
        <v/>
      </c>
      <c r="BF50" s="47" t="str">
        <f t="shared" si="328"/>
        <v/>
      </c>
      <c r="BG50" s="47" t="str">
        <f t="shared" si="328"/>
        <v/>
      </c>
      <c r="BH50" s="47" t="str">
        <f t="shared" si="328"/>
        <v/>
      </c>
      <c r="BI50" s="65">
        <f t="shared" si="329"/>
        <v>0</v>
      </c>
      <c r="BJ50" s="126"/>
      <c r="BK50" s="47"/>
      <c r="BL50" s="47"/>
      <c r="BM50" s="47"/>
      <c r="BN50" s="47"/>
      <c r="BO50" s="47"/>
      <c r="BP50" s="47"/>
      <c r="BQ50" s="47"/>
      <c r="BR50" s="47"/>
      <c r="BS50" s="47"/>
      <c r="BT50" s="47"/>
      <c r="BU50" s="47"/>
      <c r="BV50" s="47"/>
      <c r="BW50" s="129">
        <v>0.0</v>
      </c>
      <c r="BX50" s="58"/>
      <c r="BY50" s="47"/>
      <c r="BZ50" s="47"/>
      <c r="CA50" s="47"/>
      <c r="CB50" s="47"/>
      <c r="CC50" s="47"/>
      <c r="CD50" s="47"/>
      <c r="CE50" s="47"/>
      <c r="CF50" s="47"/>
      <c r="CG50" s="47"/>
      <c r="CH50" s="47"/>
      <c r="CI50" s="47"/>
      <c r="CJ50" s="47"/>
      <c r="CK50" s="65"/>
      <c r="CL50" s="47"/>
      <c r="CM50" s="47"/>
      <c r="CN50" s="47"/>
      <c r="CO50" s="47"/>
      <c r="CP50" s="47"/>
      <c r="CQ50" s="47"/>
      <c r="CR50" s="47"/>
      <c r="CS50" s="47"/>
      <c r="CT50" s="47"/>
      <c r="CU50" s="47"/>
      <c r="CV50" s="47"/>
      <c r="CW50" s="47"/>
      <c r="CX50" s="47"/>
      <c r="CY50" s="65"/>
      <c r="CZ50" s="47"/>
      <c r="DA50" s="95" t="str">
        <f t="shared" si="330"/>
        <v/>
      </c>
      <c r="DB50" s="95"/>
      <c r="DC50" s="95"/>
      <c r="DD50" s="95"/>
      <c r="DE50" s="95"/>
      <c r="DF50" s="95"/>
      <c r="DG50" s="95"/>
      <c r="DH50" s="95"/>
      <c r="DI50" s="95"/>
      <c r="DJ50" s="95"/>
      <c r="DK50" s="95"/>
      <c r="DL50" s="95"/>
      <c r="DM50" s="65">
        <f t="shared" si="331"/>
        <v>0</v>
      </c>
      <c r="DN50" s="58"/>
      <c r="DO50" s="137"/>
      <c r="DP50" s="137"/>
      <c r="DQ50" s="131"/>
    </row>
    <row r="51" outlineLevel="2">
      <c r="A51" s="15"/>
      <c r="B51" s="123" t="s">
        <v>65</v>
      </c>
      <c r="C51" s="124"/>
      <c r="D51" s="47">
        <f t="shared" si="314"/>
        <v>0</v>
      </c>
      <c r="E51" s="47">
        <f t="shared" si="315"/>
        <v>0</v>
      </c>
      <c r="F51" s="47">
        <f t="shared" si="316"/>
        <v>0</v>
      </c>
      <c r="G51" s="47">
        <f t="shared" si="317"/>
        <v>0</v>
      </c>
      <c r="H51" s="48"/>
      <c r="I51" s="66">
        <f t="shared" si="240"/>
        <v>0</v>
      </c>
      <c r="J51" s="67">
        <f t="shared" si="241"/>
        <v>0</v>
      </c>
      <c r="K51" s="66">
        <f t="shared" si="242"/>
        <v>0</v>
      </c>
      <c r="L51" s="67">
        <f t="shared" si="243"/>
        <v>0</v>
      </c>
      <c r="M51" s="66">
        <f t="shared" si="244"/>
        <v>0</v>
      </c>
      <c r="N51" s="67">
        <f t="shared" si="245"/>
        <v>0</v>
      </c>
      <c r="O51" s="48"/>
      <c r="P51" s="47">
        <f t="shared" si="318"/>
        <v>0</v>
      </c>
      <c r="Q51" s="47">
        <f t="shared" si="319"/>
        <v>0</v>
      </c>
      <c r="R51" s="47">
        <f t="shared" si="320"/>
        <v>0</v>
      </c>
      <c r="S51" s="48"/>
      <c r="T51" s="66">
        <f t="shared" si="249"/>
        <v>0</v>
      </c>
      <c r="U51" s="67">
        <f t="shared" si="250"/>
        <v>0</v>
      </c>
      <c r="V51" s="66">
        <f t="shared" si="251"/>
        <v>0</v>
      </c>
      <c r="W51" s="67">
        <f t="shared" si="252"/>
        <v>0</v>
      </c>
      <c r="X51" s="48"/>
      <c r="Y51" s="47">
        <f t="shared" si="321"/>
        <v>0</v>
      </c>
      <c r="Z51" s="47">
        <f t="shared" si="322"/>
        <v>0</v>
      </c>
      <c r="AA51" s="47">
        <f t="shared" si="323"/>
        <v>0</v>
      </c>
      <c r="AB51" s="95" t="str">
        <f t="shared" si="324"/>
        <v/>
      </c>
      <c r="AC51" s="125"/>
      <c r="AD51" s="66">
        <f t="shared" si="257"/>
        <v>0</v>
      </c>
      <c r="AE51" s="67">
        <f t="shared" si="258"/>
        <v>0</v>
      </c>
      <c r="AF51" s="66">
        <f t="shared" si="259"/>
        <v>0</v>
      </c>
      <c r="AG51" s="67">
        <f t="shared" si="260"/>
        <v>0</v>
      </c>
      <c r="AH51" s="126"/>
      <c r="AI51" s="47" t="str">
        <f t="shared" si="325"/>
        <v/>
      </c>
      <c r="AJ51" s="47" t="str">
        <f t="shared" ref="AJ51:AT51" si="332">IFERROR(IF(AJ$3="A",CN51,IF(AJ$3="F",DB51,IF(AJ$3="B",BL51,0))),"")</f>
        <v/>
      </c>
      <c r="AK51" s="47" t="str">
        <f t="shared" si="332"/>
        <v/>
      </c>
      <c r="AL51" s="47" t="str">
        <f t="shared" si="332"/>
        <v/>
      </c>
      <c r="AM51" s="47" t="str">
        <f t="shared" si="332"/>
        <v/>
      </c>
      <c r="AN51" s="47" t="str">
        <f t="shared" si="332"/>
        <v/>
      </c>
      <c r="AO51" s="47" t="str">
        <f t="shared" si="332"/>
        <v/>
      </c>
      <c r="AP51" s="47" t="str">
        <f t="shared" si="332"/>
        <v/>
      </c>
      <c r="AQ51" s="47" t="str">
        <f t="shared" si="332"/>
        <v/>
      </c>
      <c r="AR51" s="47" t="str">
        <f t="shared" si="332"/>
        <v/>
      </c>
      <c r="AS51" s="47" t="str">
        <f t="shared" si="332"/>
        <v/>
      </c>
      <c r="AT51" s="47" t="str">
        <f t="shared" si="332"/>
        <v/>
      </c>
      <c r="AU51" s="65">
        <f t="shared" si="327"/>
        <v>0</v>
      </c>
      <c r="AV51" s="127"/>
      <c r="AW51" s="47" t="str">
        <f t="shared" ref="AW51:BH51" si="333">IFERROR(IF(AW$3="A",CM51,IF(AW$3="B",BK51)),0)</f>
        <v/>
      </c>
      <c r="AX51" s="47" t="str">
        <f t="shared" si="333"/>
        <v/>
      </c>
      <c r="AY51" s="47" t="str">
        <f t="shared" si="333"/>
        <v/>
      </c>
      <c r="AZ51" s="47" t="str">
        <f t="shared" si="333"/>
        <v/>
      </c>
      <c r="BA51" s="47" t="str">
        <f t="shared" si="333"/>
        <v/>
      </c>
      <c r="BB51" s="47" t="str">
        <f t="shared" si="333"/>
        <v/>
      </c>
      <c r="BC51" s="47" t="str">
        <f t="shared" si="333"/>
        <v/>
      </c>
      <c r="BD51" s="47" t="str">
        <f t="shared" si="333"/>
        <v/>
      </c>
      <c r="BE51" s="47" t="str">
        <f t="shared" si="333"/>
        <v/>
      </c>
      <c r="BF51" s="47" t="str">
        <f t="shared" si="333"/>
        <v/>
      </c>
      <c r="BG51" s="47" t="str">
        <f t="shared" si="333"/>
        <v/>
      </c>
      <c r="BH51" s="47" t="str">
        <f t="shared" si="333"/>
        <v/>
      </c>
      <c r="BI51" s="65">
        <f t="shared" si="329"/>
        <v>0</v>
      </c>
      <c r="BJ51" s="126"/>
      <c r="BK51" s="47"/>
      <c r="BL51" s="47"/>
      <c r="BM51" s="47"/>
      <c r="BN51" s="47"/>
      <c r="BO51" s="47"/>
      <c r="BP51" s="47"/>
      <c r="BQ51" s="47"/>
      <c r="BR51" s="47"/>
      <c r="BS51" s="47"/>
      <c r="BT51" s="47"/>
      <c r="BU51" s="47"/>
      <c r="BV51" s="47"/>
      <c r="BW51" s="129">
        <v>0.0</v>
      </c>
      <c r="BX51" s="58"/>
      <c r="BY51" s="47"/>
      <c r="BZ51" s="47"/>
      <c r="CA51" s="47"/>
      <c r="CB51" s="47"/>
      <c r="CC51" s="47"/>
      <c r="CD51" s="47"/>
      <c r="CE51" s="47"/>
      <c r="CF51" s="47"/>
      <c r="CG51" s="47"/>
      <c r="CH51" s="47"/>
      <c r="CI51" s="47"/>
      <c r="CJ51" s="47"/>
      <c r="CK51" s="65"/>
      <c r="CL51" s="47"/>
      <c r="CM51" s="47"/>
      <c r="CN51" s="47"/>
      <c r="CO51" s="47"/>
      <c r="CP51" s="47"/>
      <c r="CQ51" s="47"/>
      <c r="CR51" s="47"/>
      <c r="CS51" s="47"/>
      <c r="CT51" s="47"/>
      <c r="CU51" s="47"/>
      <c r="CV51" s="47"/>
      <c r="CW51" s="47"/>
      <c r="CX51" s="47"/>
      <c r="CY51" s="65"/>
      <c r="CZ51" s="47"/>
      <c r="DA51" s="95" t="str">
        <f t="shared" si="330"/>
        <v/>
      </c>
      <c r="DB51" s="95"/>
      <c r="DC51" s="95"/>
      <c r="DD51" s="95"/>
      <c r="DE51" s="95"/>
      <c r="DF51" s="95"/>
      <c r="DG51" s="95"/>
      <c r="DH51" s="95"/>
      <c r="DI51" s="95"/>
      <c r="DJ51" s="95"/>
      <c r="DK51" s="95"/>
      <c r="DL51" s="95"/>
      <c r="DM51" s="65">
        <f t="shared" si="331"/>
        <v>0</v>
      </c>
      <c r="DN51" s="58"/>
      <c r="DO51" s="137"/>
      <c r="DP51" s="137"/>
      <c r="DQ51" s="131"/>
    </row>
    <row r="52" outlineLevel="1">
      <c r="A52" s="15"/>
      <c r="B52" s="133" t="s">
        <v>66</v>
      </c>
      <c r="C52" s="124"/>
      <c r="D52" s="57">
        <f t="shared" ref="D52:G52" si="334">SUM(D49:D51)</f>
        <v>0</v>
      </c>
      <c r="E52" s="57">
        <f t="shared" si="334"/>
        <v>0</v>
      </c>
      <c r="F52" s="57">
        <f t="shared" si="334"/>
        <v>0</v>
      </c>
      <c r="G52" s="57">
        <f t="shared" si="334"/>
        <v>0</v>
      </c>
      <c r="H52" s="125"/>
      <c r="I52" s="75">
        <f t="shared" si="240"/>
        <v>0</v>
      </c>
      <c r="J52" s="60">
        <f t="shared" si="241"/>
        <v>0</v>
      </c>
      <c r="K52" s="75">
        <f t="shared" si="242"/>
        <v>0</v>
      </c>
      <c r="L52" s="60">
        <f t="shared" si="243"/>
        <v>0</v>
      </c>
      <c r="M52" s="75">
        <f t="shared" si="244"/>
        <v>0</v>
      </c>
      <c r="N52" s="60">
        <f t="shared" si="245"/>
        <v>0</v>
      </c>
      <c r="O52" s="125"/>
      <c r="P52" s="57">
        <f t="shared" ref="P52:R52" si="335">SUM(P49:P51)</f>
        <v>0</v>
      </c>
      <c r="Q52" s="57">
        <f t="shared" si="335"/>
        <v>0</v>
      </c>
      <c r="R52" s="57">
        <f t="shared" si="335"/>
        <v>0</v>
      </c>
      <c r="S52" s="125"/>
      <c r="T52" s="75">
        <f t="shared" si="249"/>
        <v>0</v>
      </c>
      <c r="U52" s="60">
        <f t="shared" si="250"/>
        <v>0</v>
      </c>
      <c r="V52" s="75">
        <f t="shared" si="251"/>
        <v>0</v>
      </c>
      <c r="W52" s="60">
        <f t="shared" si="252"/>
        <v>0</v>
      </c>
      <c r="X52" s="125"/>
      <c r="Y52" s="57">
        <f t="shared" ref="Y52:AB52" si="336">SUM(Y49:Y51)</f>
        <v>0</v>
      </c>
      <c r="Z52" s="57">
        <f t="shared" si="336"/>
        <v>0</v>
      </c>
      <c r="AA52" s="57">
        <f t="shared" si="336"/>
        <v>0</v>
      </c>
      <c r="AB52" s="57">
        <f t="shared" si="336"/>
        <v>0</v>
      </c>
      <c r="AC52" s="125"/>
      <c r="AD52" s="75">
        <f t="shared" si="257"/>
        <v>0</v>
      </c>
      <c r="AE52" s="60">
        <f t="shared" si="258"/>
        <v>0</v>
      </c>
      <c r="AF52" s="75">
        <f t="shared" si="259"/>
        <v>0</v>
      </c>
      <c r="AG52" s="60">
        <f t="shared" si="260"/>
        <v>0</v>
      </c>
      <c r="AH52" s="134"/>
      <c r="AI52" s="57">
        <f t="shared" ref="AI52:AU52" si="337">SUM(AI49:AI51)</f>
        <v>0</v>
      </c>
      <c r="AJ52" s="57">
        <f t="shared" si="337"/>
        <v>0</v>
      </c>
      <c r="AK52" s="57">
        <f t="shared" si="337"/>
        <v>0</v>
      </c>
      <c r="AL52" s="57">
        <f t="shared" si="337"/>
        <v>0</v>
      </c>
      <c r="AM52" s="57">
        <f t="shared" si="337"/>
        <v>0</v>
      </c>
      <c r="AN52" s="57">
        <f t="shared" si="337"/>
        <v>0</v>
      </c>
      <c r="AO52" s="57">
        <f t="shared" si="337"/>
        <v>0</v>
      </c>
      <c r="AP52" s="57">
        <f t="shared" si="337"/>
        <v>0</v>
      </c>
      <c r="AQ52" s="57">
        <f t="shared" si="337"/>
        <v>0</v>
      </c>
      <c r="AR52" s="57">
        <f t="shared" si="337"/>
        <v>0</v>
      </c>
      <c r="AS52" s="57">
        <f t="shared" si="337"/>
        <v>0</v>
      </c>
      <c r="AT52" s="57">
        <f t="shared" si="337"/>
        <v>0</v>
      </c>
      <c r="AU52" s="57">
        <f t="shared" si="337"/>
        <v>0</v>
      </c>
      <c r="AV52" s="127"/>
      <c r="AW52" s="57">
        <f t="shared" ref="AW52:BI52" si="338">SUM(AW49:AW51)</f>
        <v>0</v>
      </c>
      <c r="AX52" s="57">
        <f t="shared" si="338"/>
        <v>0</v>
      </c>
      <c r="AY52" s="57">
        <f t="shared" si="338"/>
        <v>0</v>
      </c>
      <c r="AZ52" s="57">
        <f t="shared" si="338"/>
        <v>0</v>
      </c>
      <c r="BA52" s="57">
        <f t="shared" si="338"/>
        <v>0</v>
      </c>
      <c r="BB52" s="57">
        <f t="shared" si="338"/>
        <v>0</v>
      </c>
      <c r="BC52" s="57">
        <f t="shared" si="338"/>
        <v>0</v>
      </c>
      <c r="BD52" s="57">
        <f t="shared" si="338"/>
        <v>0</v>
      </c>
      <c r="BE52" s="57">
        <f t="shared" si="338"/>
        <v>0</v>
      </c>
      <c r="BF52" s="57">
        <f t="shared" si="338"/>
        <v>0</v>
      </c>
      <c r="BG52" s="57">
        <f t="shared" si="338"/>
        <v>0</v>
      </c>
      <c r="BH52" s="57">
        <f t="shared" si="338"/>
        <v>0</v>
      </c>
      <c r="BI52" s="57">
        <f t="shared" si="338"/>
        <v>0</v>
      </c>
      <c r="BJ52" s="134"/>
      <c r="BK52" s="135">
        <v>0.0</v>
      </c>
      <c r="BL52" s="135">
        <v>0.0</v>
      </c>
      <c r="BM52" s="135">
        <v>0.0</v>
      </c>
      <c r="BN52" s="135">
        <v>0.0</v>
      </c>
      <c r="BO52" s="135">
        <v>0.0</v>
      </c>
      <c r="BP52" s="135">
        <v>0.0</v>
      </c>
      <c r="BQ52" s="135">
        <v>0.0</v>
      </c>
      <c r="BR52" s="135">
        <v>0.0</v>
      </c>
      <c r="BS52" s="135">
        <v>0.0</v>
      </c>
      <c r="BT52" s="135">
        <v>0.0</v>
      </c>
      <c r="BU52" s="135">
        <v>0.0</v>
      </c>
      <c r="BV52" s="135">
        <v>0.0</v>
      </c>
      <c r="BW52" s="135">
        <v>0.0</v>
      </c>
      <c r="BX52" s="58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47"/>
      <c r="DA52" s="57">
        <f>SUM(DA49:DA51)</f>
        <v>0</v>
      </c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>
        <f>SUM(DM49:DM51)</f>
        <v>0</v>
      </c>
      <c r="DN52" s="58"/>
      <c r="DO52" s="138"/>
      <c r="DP52" s="138"/>
      <c r="DQ52" s="131"/>
    </row>
    <row r="53" outlineLevel="1">
      <c r="A53" s="15"/>
      <c r="B53" s="123" t="s">
        <v>67</v>
      </c>
      <c r="C53" s="124"/>
      <c r="D53" s="139">
        <f t="shared" ref="D53:G53" si="339">IFERROR(D48/D42,0)</f>
        <v>0</v>
      </c>
      <c r="E53" s="139">
        <f t="shared" si="339"/>
        <v>0</v>
      </c>
      <c r="F53" s="139">
        <f t="shared" si="339"/>
        <v>2.201058249</v>
      </c>
      <c r="G53" s="139">
        <f t="shared" si="339"/>
        <v>0</v>
      </c>
      <c r="H53" s="125"/>
      <c r="I53" s="66">
        <f t="shared" si="240"/>
        <v>0</v>
      </c>
      <c r="J53" s="67">
        <f t="shared" si="241"/>
        <v>0</v>
      </c>
      <c r="K53" s="66">
        <f t="shared" si="242"/>
        <v>-2.201058249</v>
      </c>
      <c r="L53" s="67">
        <f t="shared" si="243"/>
        <v>-1</v>
      </c>
      <c r="M53" s="66">
        <f t="shared" si="244"/>
        <v>0</v>
      </c>
      <c r="N53" s="67">
        <f t="shared" si="245"/>
        <v>0</v>
      </c>
      <c r="O53" s="125"/>
      <c r="P53" s="139">
        <f t="shared" ref="P53:R53" si="340">IFERROR(P48/P42,0)</f>
        <v>0</v>
      </c>
      <c r="Q53" s="139">
        <f t="shared" si="340"/>
        <v>2.157018457</v>
      </c>
      <c r="R53" s="139">
        <f t="shared" si="340"/>
        <v>0</v>
      </c>
      <c r="S53" s="125"/>
      <c r="T53" s="66">
        <f t="shared" si="249"/>
        <v>-2.157018457</v>
      </c>
      <c r="U53" s="67">
        <f t="shared" si="250"/>
        <v>-1</v>
      </c>
      <c r="V53" s="66">
        <f t="shared" si="251"/>
        <v>0</v>
      </c>
      <c r="W53" s="67">
        <f t="shared" si="252"/>
        <v>0</v>
      </c>
      <c r="X53" s="125"/>
      <c r="Y53" s="139">
        <f t="shared" ref="Y53:AB53" si="341">IFERROR(Y48/Y42,0)</f>
        <v>2.065543622</v>
      </c>
      <c r="Z53" s="139">
        <f t="shared" si="341"/>
        <v>2.092193819</v>
      </c>
      <c r="AA53" s="139">
        <f t="shared" si="341"/>
        <v>2.118306187</v>
      </c>
      <c r="AB53" s="139">
        <f t="shared" si="341"/>
        <v>0</v>
      </c>
      <c r="AC53" s="125"/>
      <c r="AD53" s="66">
        <f t="shared" si="257"/>
        <v>-0.05276256507</v>
      </c>
      <c r="AE53" s="67">
        <f t="shared" si="258"/>
        <v>-0.02490790302</v>
      </c>
      <c r="AF53" s="66">
        <f t="shared" si="259"/>
        <v>2.065543622</v>
      </c>
      <c r="AG53" s="67">
        <f t="shared" si="260"/>
        <v>0</v>
      </c>
      <c r="AH53" s="126"/>
      <c r="AI53" s="139">
        <f t="shared" ref="AI53:AU53" si="342">IFERROR(AI48/AI42,0)</f>
        <v>0</v>
      </c>
      <c r="AJ53" s="139">
        <f t="shared" si="342"/>
        <v>0</v>
      </c>
      <c r="AK53" s="139">
        <f t="shared" si="342"/>
        <v>0</v>
      </c>
      <c r="AL53" s="139">
        <f t="shared" si="342"/>
        <v>0</v>
      </c>
      <c r="AM53" s="139">
        <f t="shared" si="342"/>
        <v>0</v>
      </c>
      <c r="AN53" s="139">
        <f t="shared" si="342"/>
        <v>0</v>
      </c>
      <c r="AO53" s="139">
        <f t="shared" si="342"/>
        <v>0</v>
      </c>
      <c r="AP53" s="139">
        <f t="shared" si="342"/>
        <v>0</v>
      </c>
      <c r="AQ53" s="139">
        <f t="shared" si="342"/>
        <v>0</v>
      </c>
      <c r="AR53" s="139">
        <f t="shared" si="342"/>
        <v>2.059659036</v>
      </c>
      <c r="AS53" s="139">
        <f t="shared" si="342"/>
        <v>1.951754386</v>
      </c>
      <c r="AT53" s="139">
        <f t="shared" si="342"/>
        <v>2.186335319</v>
      </c>
      <c r="AU53" s="140">
        <f t="shared" si="342"/>
        <v>2.065543622</v>
      </c>
      <c r="AV53" s="127"/>
      <c r="AW53" s="139">
        <f t="shared" ref="AW53:BI53" si="343">IFERROR(AW48/AW42,0)</f>
        <v>0</v>
      </c>
      <c r="AX53" s="139">
        <f t="shared" si="343"/>
        <v>0</v>
      </c>
      <c r="AY53" s="139">
        <f t="shared" si="343"/>
        <v>0</v>
      </c>
      <c r="AZ53" s="139">
        <f t="shared" si="343"/>
        <v>0</v>
      </c>
      <c r="BA53" s="139">
        <f t="shared" si="343"/>
        <v>0</v>
      </c>
      <c r="BB53" s="139">
        <f t="shared" si="343"/>
        <v>0</v>
      </c>
      <c r="BC53" s="139">
        <f t="shared" si="343"/>
        <v>2.191304366</v>
      </c>
      <c r="BD53" s="139">
        <f t="shared" si="343"/>
        <v>2.087048718</v>
      </c>
      <c r="BE53" s="139">
        <f t="shared" si="343"/>
        <v>2.040380095</v>
      </c>
      <c r="BF53" s="139">
        <f t="shared" si="343"/>
        <v>2.059659036</v>
      </c>
      <c r="BG53" s="139">
        <f t="shared" si="343"/>
        <v>1.951754386</v>
      </c>
      <c r="BH53" s="139">
        <f t="shared" si="343"/>
        <v>2.186335319</v>
      </c>
      <c r="BI53" s="140">
        <f t="shared" si="343"/>
        <v>2.092193819</v>
      </c>
      <c r="BJ53" s="126"/>
      <c r="BK53" s="141">
        <v>2.2255</v>
      </c>
      <c r="BL53" s="141">
        <v>2.1</v>
      </c>
      <c r="BM53" s="141">
        <v>2.0939</v>
      </c>
      <c r="BN53" s="141">
        <v>2.3419</v>
      </c>
      <c r="BO53" s="141">
        <v>2.0</v>
      </c>
      <c r="BP53" s="141">
        <v>2.2011</v>
      </c>
      <c r="BQ53" s="141">
        <v>2.1913</v>
      </c>
      <c r="BR53" s="141">
        <v>2.087</v>
      </c>
      <c r="BS53" s="141">
        <v>2.0404</v>
      </c>
      <c r="BT53" s="141">
        <v>2.0597</v>
      </c>
      <c r="BU53" s="141">
        <v>1.9518</v>
      </c>
      <c r="BV53" s="141">
        <v>2.1863</v>
      </c>
      <c r="BW53" s="142">
        <v>2.1183</v>
      </c>
      <c r="BX53" s="1"/>
      <c r="BY53" s="139"/>
      <c r="BZ53" s="139"/>
      <c r="CA53" s="139"/>
      <c r="CB53" s="139"/>
      <c r="CC53" s="139"/>
      <c r="CD53" s="139"/>
      <c r="CE53" s="139"/>
      <c r="CF53" s="139"/>
      <c r="CG53" s="139"/>
      <c r="CH53" s="139"/>
      <c r="CI53" s="139"/>
      <c r="CJ53" s="139"/>
      <c r="CK53" s="140"/>
      <c r="CL53" s="139"/>
      <c r="CM53" s="139"/>
      <c r="CN53" s="139"/>
      <c r="CO53" s="139"/>
      <c r="CP53" s="139"/>
      <c r="CQ53" s="139"/>
      <c r="CR53" s="139"/>
      <c r="CS53" s="139"/>
      <c r="CT53" s="139"/>
      <c r="CU53" s="139"/>
      <c r="CV53" s="139"/>
      <c r="CW53" s="139"/>
      <c r="CX53" s="139"/>
      <c r="CY53" s="140"/>
      <c r="CZ53" s="11"/>
      <c r="DA53" s="139">
        <f>IFERROR(DA48/DA42,0)</f>
        <v>2.225531868</v>
      </c>
      <c r="DB53" s="139"/>
      <c r="DC53" s="139"/>
      <c r="DD53" s="139"/>
      <c r="DE53" s="139"/>
      <c r="DF53" s="139"/>
      <c r="DG53" s="139"/>
      <c r="DH53" s="139"/>
      <c r="DI53" s="139"/>
      <c r="DJ53" s="139"/>
      <c r="DK53" s="139"/>
      <c r="DL53" s="139"/>
      <c r="DM53" s="140">
        <f>IFERROR(DM48/DM42,0)</f>
        <v>2.225531868</v>
      </c>
      <c r="DN53" s="1"/>
      <c r="DO53" s="132"/>
      <c r="DP53" s="132"/>
      <c r="DQ53" s="131"/>
    </row>
    <row r="54" outlineLevel="1">
      <c r="A54" s="143"/>
      <c r="B54" s="133" t="s">
        <v>68</v>
      </c>
      <c r="C54" s="143"/>
      <c r="D54" s="52">
        <f t="shared" ref="D54:G54" si="344">IFERROR(D42/D36,0)</f>
        <v>0</v>
      </c>
      <c r="E54" s="52">
        <f t="shared" si="344"/>
        <v>0</v>
      </c>
      <c r="F54" s="52">
        <f t="shared" si="344"/>
        <v>0.61875</v>
      </c>
      <c r="G54" s="52">
        <f t="shared" si="344"/>
        <v>0</v>
      </c>
      <c r="H54" s="125"/>
      <c r="I54" s="144">
        <f t="shared" si="240"/>
        <v>0</v>
      </c>
      <c r="J54" s="60">
        <f t="shared" si="241"/>
        <v>0</v>
      </c>
      <c r="K54" s="144">
        <f t="shared" si="242"/>
        <v>-0.61875</v>
      </c>
      <c r="L54" s="60">
        <f t="shared" si="243"/>
        <v>-1</v>
      </c>
      <c r="M54" s="144">
        <f t="shared" si="244"/>
        <v>0</v>
      </c>
      <c r="N54" s="60">
        <f t="shared" si="245"/>
        <v>0</v>
      </c>
      <c r="O54" s="125"/>
      <c r="P54" s="52">
        <f t="shared" ref="P54:R54" si="345">IFERROR(P42/P36,0)</f>
        <v>0</v>
      </c>
      <c r="Q54" s="52">
        <f t="shared" si="345"/>
        <v>0.5238259669</v>
      </c>
      <c r="R54" s="52">
        <f t="shared" si="345"/>
        <v>0</v>
      </c>
      <c r="S54" s="125"/>
      <c r="T54" s="144">
        <f t="shared" si="249"/>
        <v>-0.5238259669</v>
      </c>
      <c r="U54" s="60">
        <f t="shared" si="250"/>
        <v>-1</v>
      </c>
      <c r="V54" s="144">
        <f t="shared" si="251"/>
        <v>0</v>
      </c>
      <c r="W54" s="60">
        <f t="shared" si="252"/>
        <v>0</v>
      </c>
      <c r="X54" s="125"/>
      <c r="Y54" s="52">
        <f t="shared" ref="Y54:AB54" si="346">IFERROR(Y42/Y36,0)</f>
        <v>0.5964673913</v>
      </c>
      <c r="Z54" s="52">
        <f t="shared" si="346"/>
        <v>0.7639266304</v>
      </c>
      <c r="AA54" s="52">
        <f t="shared" si="346"/>
        <v>0.6448630137</v>
      </c>
      <c r="AB54" s="52">
        <f t="shared" si="346"/>
        <v>0</v>
      </c>
      <c r="AC54" s="125"/>
      <c r="AD54" s="144">
        <f t="shared" si="257"/>
        <v>-0.04839562239</v>
      </c>
      <c r="AE54" s="60">
        <f t="shared" si="258"/>
        <v>-0.07504791152</v>
      </c>
      <c r="AF54" s="144">
        <f t="shared" si="259"/>
        <v>0.5964673913</v>
      </c>
      <c r="AG54" s="60">
        <f t="shared" si="260"/>
        <v>0</v>
      </c>
      <c r="AH54" s="145"/>
      <c r="AI54" s="52">
        <f t="shared" ref="AI54:AU54" si="347">IFERROR(AI42/AI36,0)</f>
        <v>0</v>
      </c>
      <c r="AJ54" s="52">
        <f t="shared" si="347"/>
        <v>0</v>
      </c>
      <c r="AK54" s="52">
        <f t="shared" si="347"/>
        <v>0</v>
      </c>
      <c r="AL54" s="52">
        <f t="shared" si="347"/>
        <v>0</v>
      </c>
      <c r="AM54" s="52">
        <f t="shared" si="347"/>
        <v>0</v>
      </c>
      <c r="AN54" s="52">
        <f t="shared" si="347"/>
        <v>0</v>
      </c>
      <c r="AO54" s="52">
        <f t="shared" si="347"/>
        <v>0</v>
      </c>
      <c r="AP54" s="52">
        <f t="shared" si="347"/>
        <v>0</v>
      </c>
      <c r="AQ54" s="52">
        <f t="shared" si="347"/>
        <v>0</v>
      </c>
      <c r="AR54" s="52">
        <f t="shared" si="347"/>
        <v>0.8366935484</v>
      </c>
      <c r="AS54" s="52">
        <f t="shared" si="347"/>
        <v>0.475</v>
      </c>
      <c r="AT54" s="52">
        <f t="shared" si="347"/>
        <v>0.4737903226</v>
      </c>
      <c r="AU54" s="52">
        <f t="shared" si="347"/>
        <v>0.5964673913</v>
      </c>
      <c r="AV54" s="127"/>
      <c r="AW54" s="52">
        <f t="shared" ref="AW54:BI54" si="348">IFERROR(AW42/AW36,0)</f>
        <v>0</v>
      </c>
      <c r="AX54" s="52">
        <f t="shared" si="348"/>
        <v>0</v>
      </c>
      <c r="AY54" s="52">
        <f t="shared" si="348"/>
        <v>0</v>
      </c>
      <c r="AZ54" s="52">
        <f t="shared" si="348"/>
        <v>0</v>
      </c>
      <c r="BA54" s="52">
        <f t="shared" si="348"/>
        <v>0</v>
      </c>
      <c r="BB54" s="52">
        <f t="shared" si="348"/>
        <v>0</v>
      </c>
      <c r="BC54" s="52">
        <f t="shared" si="348"/>
        <v>0.9697580645</v>
      </c>
      <c r="BD54" s="52">
        <f t="shared" si="348"/>
        <v>0.9435483871</v>
      </c>
      <c r="BE54" s="52">
        <f t="shared" si="348"/>
        <v>0.8791666667</v>
      </c>
      <c r="BF54" s="52">
        <f t="shared" si="348"/>
        <v>0.8366935484</v>
      </c>
      <c r="BG54" s="52">
        <f t="shared" si="348"/>
        <v>0.475</v>
      </c>
      <c r="BH54" s="52">
        <f t="shared" si="348"/>
        <v>0.4737903226</v>
      </c>
      <c r="BI54" s="52">
        <f t="shared" si="348"/>
        <v>0.7639266304</v>
      </c>
      <c r="BJ54" s="145"/>
      <c r="BK54" s="146">
        <v>0.5504</v>
      </c>
      <c r="BL54" s="146">
        <v>0.6406</v>
      </c>
      <c r="BM54" s="146">
        <v>0.3891</v>
      </c>
      <c r="BN54" s="146">
        <v>0.4271</v>
      </c>
      <c r="BO54" s="146">
        <v>0.5282</v>
      </c>
      <c r="BP54" s="146">
        <v>0.6188</v>
      </c>
      <c r="BQ54" s="146">
        <v>0.9698</v>
      </c>
      <c r="BR54" s="146">
        <v>0.9435</v>
      </c>
      <c r="BS54" s="146">
        <v>0.8792</v>
      </c>
      <c r="BT54" s="146">
        <v>0.8367</v>
      </c>
      <c r="BU54" s="146">
        <v>0.475</v>
      </c>
      <c r="BV54" s="146">
        <v>0.4738</v>
      </c>
      <c r="BW54" s="146">
        <v>0.6449</v>
      </c>
      <c r="BX54" s="90"/>
      <c r="BY54" s="147"/>
      <c r="BZ54" s="147"/>
      <c r="CA54" s="147"/>
      <c r="CB54" s="147"/>
      <c r="CC54" s="147"/>
      <c r="CD54" s="147"/>
      <c r="CE54" s="147"/>
      <c r="CF54" s="147"/>
      <c r="CG54" s="147"/>
      <c r="CH54" s="147"/>
      <c r="CI54" s="147"/>
      <c r="CJ54" s="147"/>
      <c r="CK54" s="147"/>
      <c r="CL54" s="147"/>
      <c r="CM54" s="52"/>
      <c r="CN54" s="52"/>
      <c r="CO54" s="52"/>
      <c r="CP54" s="52"/>
      <c r="CQ54" s="52"/>
      <c r="CR54" s="52"/>
      <c r="CS54" s="52"/>
      <c r="CT54" s="52"/>
      <c r="CU54" s="52"/>
      <c r="CV54" s="52"/>
      <c r="CW54" s="52"/>
      <c r="CX54" s="52"/>
      <c r="CY54" s="52"/>
      <c r="CZ54" s="148"/>
      <c r="DA54" s="52">
        <f>IFERROR(DA42/DA36,0)</f>
        <v>0.5504032258</v>
      </c>
      <c r="DB54" s="52"/>
      <c r="DC54" s="52"/>
      <c r="DD54" s="52"/>
      <c r="DE54" s="52"/>
      <c r="DF54" s="52"/>
      <c r="DG54" s="52"/>
      <c r="DH54" s="52"/>
      <c r="DI54" s="52"/>
      <c r="DJ54" s="52"/>
      <c r="DK54" s="52"/>
      <c r="DL54" s="52"/>
      <c r="DM54" s="52">
        <f>IFERROR(DM42/DM36,0)</f>
        <v>0</v>
      </c>
      <c r="DN54" s="1"/>
      <c r="DO54" s="149"/>
      <c r="DP54" s="149"/>
      <c r="DQ54" s="131"/>
    </row>
    <row r="55">
      <c r="A55" s="15"/>
      <c r="B55" s="124"/>
      <c r="C55" s="124"/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6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12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126"/>
      <c r="BK55" s="47"/>
      <c r="BL55" s="47"/>
      <c r="BM55" s="47"/>
      <c r="BN55" s="47"/>
      <c r="BO55" s="47"/>
      <c r="BP55" s="47"/>
      <c r="BQ55" s="47"/>
      <c r="BR55" s="47"/>
      <c r="BS55" s="47"/>
      <c r="BT55" s="47"/>
      <c r="BU55" s="47"/>
      <c r="BV55" s="47"/>
      <c r="BW55" s="47"/>
      <c r="BX55" s="1"/>
      <c r="BY55" s="47"/>
      <c r="BZ55" s="47"/>
      <c r="CA55" s="47"/>
      <c r="CB55" s="47"/>
      <c r="CC55" s="47"/>
      <c r="CD55" s="47"/>
      <c r="CE55" s="47"/>
      <c r="CF55" s="47"/>
      <c r="CG55" s="47"/>
      <c r="CH55" s="47"/>
      <c r="CI55" s="47"/>
      <c r="CJ55" s="47"/>
      <c r="CK55" s="47"/>
      <c r="CL55" s="47"/>
      <c r="CM55" s="47"/>
      <c r="CN55" s="47"/>
      <c r="CO55" s="47"/>
      <c r="CP55" s="47"/>
      <c r="CQ55" s="47"/>
      <c r="CR55" s="47"/>
      <c r="CS55" s="47"/>
      <c r="CT55" s="47"/>
      <c r="CU55" s="47"/>
      <c r="CV55" s="47"/>
      <c r="CW55" s="47"/>
      <c r="CX55" s="47"/>
      <c r="CY55" s="47"/>
      <c r="CZ55" s="11"/>
      <c r="DA55" s="95"/>
      <c r="DB55" s="95"/>
      <c r="DC55" s="95"/>
      <c r="DD55" s="95"/>
      <c r="DE55" s="95"/>
      <c r="DF55" s="95"/>
      <c r="DG55" s="95"/>
      <c r="DH55" s="95"/>
      <c r="DI55" s="95"/>
      <c r="DJ55" s="95"/>
      <c r="DK55" s="95"/>
      <c r="DL55" s="95"/>
      <c r="DM55" s="95"/>
      <c r="DN55" s="1"/>
      <c r="DO55" s="150"/>
      <c r="DP55" s="150"/>
      <c r="DQ55" s="131"/>
    </row>
    <row r="56">
      <c r="A56" s="151">
        <v>1.1</v>
      </c>
      <c r="B56" s="152" t="s">
        <v>69</v>
      </c>
      <c r="C56" s="124"/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34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12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134"/>
      <c r="BK56" s="47"/>
      <c r="BL56" s="47"/>
      <c r="BM56" s="47"/>
      <c r="BN56" s="47"/>
      <c r="BO56" s="47"/>
      <c r="BP56" s="47"/>
      <c r="BQ56" s="47"/>
      <c r="BR56" s="47"/>
      <c r="BS56" s="47"/>
      <c r="BT56" s="47"/>
      <c r="BU56" s="47"/>
      <c r="BV56" s="47"/>
      <c r="BW56" s="47"/>
      <c r="BX56" s="1"/>
      <c r="BY56" s="47"/>
      <c r="BZ56" s="47"/>
      <c r="CA56" s="47"/>
      <c r="CB56" s="47"/>
      <c r="CC56" s="47"/>
      <c r="CD56" s="47"/>
      <c r="CE56" s="47"/>
      <c r="CF56" s="47"/>
      <c r="CG56" s="47"/>
      <c r="CH56" s="47"/>
      <c r="CI56" s="47"/>
      <c r="CJ56" s="47"/>
      <c r="CK56" s="47"/>
      <c r="CL56" s="47"/>
      <c r="CM56" s="47"/>
      <c r="CN56" s="47"/>
      <c r="CO56" s="47"/>
      <c r="CP56" s="47"/>
      <c r="CQ56" s="47"/>
      <c r="CR56" s="47"/>
      <c r="CS56" s="47"/>
      <c r="CT56" s="47"/>
      <c r="CU56" s="47"/>
      <c r="CV56" s="47"/>
      <c r="CW56" s="47"/>
      <c r="CX56" s="47"/>
      <c r="CY56" s="47"/>
      <c r="CZ56" s="11"/>
      <c r="DA56" s="95"/>
      <c r="DB56" s="95"/>
      <c r="DC56" s="95"/>
      <c r="DD56" s="95"/>
      <c r="DE56" s="95"/>
      <c r="DF56" s="95"/>
      <c r="DG56" s="95"/>
      <c r="DH56" s="95"/>
      <c r="DI56" s="95"/>
      <c r="DJ56" s="95"/>
      <c r="DK56" s="95"/>
      <c r="DL56" s="95"/>
      <c r="DM56" s="95"/>
      <c r="DN56" s="1"/>
      <c r="DO56" s="150"/>
      <c r="DP56" s="150"/>
      <c r="DQ56" s="131"/>
    </row>
    <row r="57" outlineLevel="2">
      <c r="A57" s="15"/>
      <c r="B57" s="123" t="s">
        <v>70</v>
      </c>
      <c r="C57" s="124"/>
      <c r="D57" s="47">
        <f t="shared" ref="D57:G57" si="349">IFERROR(D78/D37,0)</f>
        <v>0</v>
      </c>
      <c r="E57" s="47">
        <f t="shared" si="349"/>
        <v>0</v>
      </c>
      <c r="F57" s="47">
        <f t="shared" si="349"/>
        <v>1354.475239</v>
      </c>
      <c r="G57" s="47">
        <f t="shared" si="349"/>
        <v>0</v>
      </c>
      <c r="H57" s="125"/>
      <c r="I57" s="66">
        <f t="shared" ref="I57:I64" si="355">D57-E57</f>
        <v>0</v>
      </c>
      <c r="J57" s="67">
        <f t="shared" ref="J57:J64" si="356">IFERROR(I57/(E57),0)</f>
        <v>0</v>
      </c>
      <c r="K57" s="66">
        <f t="shared" ref="K57:K64" si="357">D57-F57</f>
        <v>-1354.475239</v>
      </c>
      <c r="L57" s="67">
        <f t="shared" ref="L57:L64" si="358">IFERROR(K57/(F57),0)</f>
        <v>-1</v>
      </c>
      <c r="M57" s="66">
        <f t="shared" ref="M57:M64" si="359">D57-G57</f>
        <v>0</v>
      </c>
      <c r="N57" s="67">
        <f t="shared" ref="N57:N64" si="360">IFERROR(M57/G57,0)</f>
        <v>0</v>
      </c>
      <c r="O57" s="125"/>
      <c r="P57" s="47">
        <f t="shared" ref="P57:R57" si="350">IFERROR(P78/P37,0)</f>
        <v>0</v>
      </c>
      <c r="Q57" s="47">
        <f t="shared" si="350"/>
        <v>1180.284575</v>
      </c>
      <c r="R57" s="47">
        <f t="shared" si="350"/>
        <v>0</v>
      </c>
      <c r="S57" s="125"/>
      <c r="T57" s="66">
        <f t="shared" ref="T57:T64" si="362">P57-Q57</f>
        <v>-1180.284575</v>
      </c>
      <c r="U57" s="67">
        <f t="shared" ref="U57:U64" si="363">IFERROR(T57/Q57,0)</f>
        <v>-1</v>
      </c>
      <c r="V57" s="66">
        <f t="shared" ref="V57:V64" si="364">P57-R57</f>
        <v>0</v>
      </c>
      <c r="W57" s="67">
        <f t="shared" ref="W57:W64" si="365">IFERROR(V57/R57,0)</f>
        <v>0</v>
      </c>
      <c r="X57" s="125"/>
      <c r="Y57" s="47">
        <f t="shared" ref="Y57:AB57" si="351">IFERROR(Y78/Y37,0)</f>
        <v>1408.662164</v>
      </c>
      <c r="Z57" s="47">
        <f t="shared" si="351"/>
        <v>1462.057759</v>
      </c>
      <c r="AA57" s="47">
        <f t="shared" si="351"/>
        <v>1357.360248</v>
      </c>
      <c r="AB57" s="47">
        <f t="shared" si="351"/>
        <v>0</v>
      </c>
      <c r="AC57" s="125"/>
      <c r="AD57" s="66">
        <f t="shared" ref="AD57:AD64" si="367">Y57-AA57</f>
        <v>51.30191553</v>
      </c>
      <c r="AE57" s="67">
        <f t="shared" ref="AE57:AE64" si="368">IFERROR(AD57/AA57,0)</f>
        <v>0.03779535727</v>
      </c>
      <c r="AF57" s="66">
        <f t="shared" ref="AF57:AF64" si="369">Y57-AB57</f>
        <v>1408.662164</v>
      </c>
      <c r="AG57" s="67">
        <f t="shared" ref="AG57:AG64" si="370">IFERROR(AF57/AB57,0)</f>
        <v>0</v>
      </c>
      <c r="AH57" s="126"/>
      <c r="AI57" s="47">
        <f t="shared" ref="AI57:AU57" si="352">IFERROR(AI78/AI37,0)</f>
        <v>0</v>
      </c>
      <c r="AJ57" s="47">
        <f t="shared" si="352"/>
        <v>0</v>
      </c>
      <c r="AK57" s="47">
        <f t="shared" si="352"/>
        <v>0</v>
      </c>
      <c r="AL57" s="47">
        <f t="shared" si="352"/>
        <v>0</v>
      </c>
      <c r="AM57" s="47">
        <f t="shared" si="352"/>
        <v>0</v>
      </c>
      <c r="AN57" s="47">
        <f t="shared" si="352"/>
        <v>0</v>
      </c>
      <c r="AO57" s="47">
        <f t="shared" si="352"/>
        <v>0</v>
      </c>
      <c r="AP57" s="47">
        <f t="shared" si="352"/>
        <v>0</v>
      </c>
      <c r="AQ57" s="47">
        <f t="shared" si="352"/>
        <v>0</v>
      </c>
      <c r="AR57" s="47">
        <f t="shared" si="352"/>
        <v>1530.10727</v>
      </c>
      <c r="AS57" s="47">
        <f t="shared" si="352"/>
        <v>1257.517025</v>
      </c>
      <c r="AT57" s="47">
        <f t="shared" si="352"/>
        <v>1348.250541</v>
      </c>
      <c r="AU57" s="65">
        <f t="shared" si="352"/>
        <v>1408.662164</v>
      </c>
      <c r="AV57" s="127"/>
      <c r="AW57" s="47">
        <f t="shared" ref="AW57:BI57" si="353">IFERROR(AW78/AW37,0)</f>
        <v>0</v>
      </c>
      <c r="AX57" s="47">
        <f t="shared" si="353"/>
        <v>0</v>
      </c>
      <c r="AY57" s="47">
        <f t="shared" si="353"/>
        <v>0</v>
      </c>
      <c r="AZ57" s="47">
        <f t="shared" si="353"/>
        <v>0</v>
      </c>
      <c r="BA57" s="47">
        <f t="shared" si="353"/>
        <v>0</v>
      </c>
      <c r="BB57" s="47">
        <f t="shared" si="353"/>
        <v>0</v>
      </c>
      <c r="BC57" s="47">
        <f t="shared" si="353"/>
        <v>1519.804336</v>
      </c>
      <c r="BD57" s="47">
        <f t="shared" si="353"/>
        <v>1507.129598</v>
      </c>
      <c r="BE57" s="47">
        <f t="shared" si="353"/>
        <v>1469.332126</v>
      </c>
      <c r="BF57" s="47">
        <f t="shared" si="353"/>
        <v>1530.10727</v>
      </c>
      <c r="BG57" s="47">
        <f t="shared" si="353"/>
        <v>1257.517025</v>
      </c>
      <c r="BH57" s="47">
        <f t="shared" si="353"/>
        <v>1348.250541</v>
      </c>
      <c r="BI57" s="65">
        <f t="shared" si="353"/>
        <v>1462.057759</v>
      </c>
      <c r="BJ57" s="126"/>
      <c r="BK57" s="128">
        <v>1360.3225</v>
      </c>
      <c r="BL57" s="128">
        <v>1270.3436</v>
      </c>
      <c r="BM57" s="128">
        <v>1235.8303</v>
      </c>
      <c r="BN57" s="128">
        <v>935.6561</v>
      </c>
      <c r="BO57" s="128">
        <v>853.9701</v>
      </c>
      <c r="BP57" s="128">
        <v>1354.4752</v>
      </c>
      <c r="BQ57" s="128">
        <v>1519.8045</v>
      </c>
      <c r="BR57" s="128">
        <v>1507.1294</v>
      </c>
      <c r="BS57" s="128">
        <v>1469.3321</v>
      </c>
      <c r="BT57" s="128">
        <v>1530.1071</v>
      </c>
      <c r="BU57" s="128">
        <v>1257.517</v>
      </c>
      <c r="BV57" s="128">
        <v>1348.2505</v>
      </c>
      <c r="BW57" s="129">
        <v>1357.3603</v>
      </c>
      <c r="BX57" s="1"/>
      <c r="BY57" s="47"/>
      <c r="BZ57" s="47"/>
      <c r="CA57" s="47"/>
      <c r="CB57" s="47"/>
      <c r="CC57" s="47"/>
      <c r="CD57" s="47"/>
      <c r="CE57" s="47"/>
      <c r="CF57" s="47"/>
      <c r="CG57" s="47"/>
      <c r="CH57" s="47"/>
      <c r="CI57" s="47"/>
      <c r="CJ57" s="47"/>
      <c r="CK57" s="65"/>
      <c r="CL57" s="47"/>
      <c r="CM57" s="47"/>
      <c r="CN57" s="47"/>
      <c r="CO57" s="47"/>
      <c r="CP57" s="47"/>
      <c r="CQ57" s="47"/>
      <c r="CR57" s="47"/>
      <c r="CS57" s="47"/>
      <c r="CT57" s="47"/>
      <c r="CU57" s="47"/>
      <c r="CV57" s="47"/>
      <c r="CW57" s="47"/>
      <c r="CX57" s="47"/>
      <c r="CY57" s="65"/>
      <c r="CZ57" s="11"/>
      <c r="DA57" s="47">
        <f t="shared" ref="DA57:DA62" si="373">IFERROR(DA78/DA37,0)</f>
        <v>1360.322589</v>
      </c>
      <c r="DB57" s="47"/>
      <c r="DC57" s="47"/>
      <c r="DD57" s="47"/>
      <c r="DE57" s="47"/>
      <c r="DF57" s="47"/>
      <c r="DG57" s="47"/>
      <c r="DH57" s="47"/>
      <c r="DI57" s="47"/>
      <c r="DJ57" s="47"/>
      <c r="DK57" s="47"/>
      <c r="DL57" s="47"/>
      <c r="DM57" s="65">
        <f t="shared" ref="DM57:DM62" si="374">IFERROR(DM78/DM37,0)</f>
        <v>1360.322589</v>
      </c>
      <c r="DN57" s="1"/>
      <c r="DO57" s="130"/>
      <c r="DP57" s="130"/>
      <c r="DQ57" s="131"/>
    </row>
    <row r="58" outlineLevel="2">
      <c r="A58" s="15"/>
      <c r="B58" s="123" t="s">
        <v>71</v>
      </c>
      <c r="C58" s="124"/>
      <c r="D58" s="47">
        <f t="shared" ref="D58:G58" si="354">IFERROR(D79/D38,0)</f>
        <v>0</v>
      </c>
      <c r="E58" s="47">
        <f t="shared" si="354"/>
        <v>0</v>
      </c>
      <c r="F58" s="47">
        <f t="shared" si="354"/>
        <v>1022.926606</v>
      </c>
      <c r="G58" s="47">
        <f t="shared" si="354"/>
        <v>0</v>
      </c>
      <c r="H58" s="125"/>
      <c r="I58" s="66">
        <f t="shared" si="355"/>
        <v>0</v>
      </c>
      <c r="J58" s="67">
        <f t="shared" si="356"/>
        <v>0</v>
      </c>
      <c r="K58" s="66">
        <f t="shared" si="357"/>
        <v>-1022.926606</v>
      </c>
      <c r="L58" s="67">
        <f t="shared" si="358"/>
        <v>-1</v>
      </c>
      <c r="M58" s="66">
        <f t="shared" si="359"/>
        <v>0</v>
      </c>
      <c r="N58" s="67">
        <f t="shared" si="360"/>
        <v>0</v>
      </c>
      <c r="O58" s="125"/>
      <c r="P58" s="47">
        <f t="shared" ref="P58:R58" si="361">IFERROR(P79/P38,0)</f>
        <v>0</v>
      </c>
      <c r="Q58" s="47">
        <f t="shared" si="361"/>
        <v>983.1830164</v>
      </c>
      <c r="R58" s="47">
        <f t="shared" si="361"/>
        <v>0</v>
      </c>
      <c r="S58" s="125"/>
      <c r="T58" s="66">
        <f t="shared" si="362"/>
        <v>-983.1830164</v>
      </c>
      <c r="U58" s="67">
        <f t="shared" si="363"/>
        <v>-1</v>
      </c>
      <c r="V58" s="66">
        <f t="shared" si="364"/>
        <v>0</v>
      </c>
      <c r="W58" s="67">
        <f t="shared" si="365"/>
        <v>0</v>
      </c>
      <c r="X58" s="125"/>
      <c r="Y58" s="47">
        <f t="shared" ref="Y58:AB58" si="366">IFERROR(Y79/Y38,0)</f>
        <v>1192.255589</v>
      </c>
      <c r="Z58" s="47">
        <f t="shared" si="366"/>
        <v>1360.758418</v>
      </c>
      <c r="AA58" s="47">
        <f t="shared" si="366"/>
        <v>1145.112945</v>
      </c>
      <c r="AB58" s="47">
        <f t="shared" si="366"/>
        <v>0</v>
      </c>
      <c r="AC58" s="125"/>
      <c r="AD58" s="66">
        <f t="shared" si="367"/>
        <v>47.14264403</v>
      </c>
      <c r="AE58" s="67">
        <f t="shared" si="368"/>
        <v>0.04116855392</v>
      </c>
      <c r="AF58" s="66">
        <f t="shared" si="369"/>
        <v>1192.255589</v>
      </c>
      <c r="AG58" s="67">
        <f t="shared" si="370"/>
        <v>0</v>
      </c>
      <c r="AH58" s="126"/>
      <c r="AI58" s="47">
        <f t="shared" ref="AI58:AU58" si="371">IFERROR(AI79/AI38,0)</f>
        <v>0</v>
      </c>
      <c r="AJ58" s="47">
        <f t="shared" si="371"/>
        <v>0</v>
      </c>
      <c r="AK58" s="47">
        <f t="shared" si="371"/>
        <v>0</v>
      </c>
      <c r="AL58" s="47">
        <f t="shared" si="371"/>
        <v>0</v>
      </c>
      <c r="AM58" s="47">
        <f t="shared" si="371"/>
        <v>0</v>
      </c>
      <c r="AN58" s="47">
        <f t="shared" si="371"/>
        <v>0</v>
      </c>
      <c r="AO58" s="47">
        <f t="shared" si="371"/>
        <v>0</v>
      </c>
      <c r="AP58" s="47">
        <f t="shared" si="371"/>
        <v>0</v>
      </c>
      <c r="AQ58" s="47">
        <f t="shared" si="371"/>
        <v>0</v>
      </c>
      <c r="AR58" s="47">
        <f t="shared" si="371"/>
        <v>1310.99499</v>
      </c>
      <c r="AS58" s="47">
        <f t="shared" si="371"/>
        <v>930.9386667</v>
      </c>
      <c r="AT58" s="47">
        <f t="shared" si="371"/>
        <v>0</v>
      </c>
      <c r="AU58" s="65">
        <f t="shared" si="371"/>
        <v>1192.255589</v>
      </c>
      <c r="AV58" s="127"/>
      <c r="AW58" s="47">
        <f t="shared" ref="AW58:BI58" si="372">IFERROR(AW79/AW38,0)</f>
        <v>0</v>
      </c>
      <c r="AX58" s="47">
        <f t="shared" si="372"/>
        <v>0</v>
      </c>
      <c r="AY58" s="47">
        <f t="shared" si="372"/>
        <v>0</v>
      </c>
      <c r="AZ58" s="47">
        <f t="shared" si="372"/>
        <v>0</v>
      </c>
      <c r="BA58" s="47">
        <f t="shared" si="372"/>
        <v>0</v>
      </c>
      <c r="BB58" s="47">
        <f t="shared" si="372"/>
        <v>0</v>
      </c>
      <c r="BC58" s="47">
        <f t="shared" si="372"/>
        <v>1337.37953</v>
      </c>
      <c r="BD58" s="47">
        <f t="shared" si="372"/>
        <v>1444.857863</v>
      </c>
      <c r="BE58" s="47">
        <f t="shared" si="372"/>
        <v>1453.56202</v>
      </c>
      <c r="BF58" s="47">
        <f t="shared" si="372"/>
        <v>1310.99499</v>
      </c>
      <c r="BG58" s="47">
        <f t="shared" si="372"/>
        <v>930.9386667</v>
      </c>
      <c r="BH58" s="47">
        <f t="shared" si="372"/>
        <v>0</v>
      </c>
      <c r="BI58" s="65">
        <f t="shared" si="372"/>
        <v>1360.758418</v>
      </c>
      <c r="BJ58" s="126"/>
      <c r="BK58" s="128">
        <v>1294.8348</v>
      </c>
      <c r="BL58" s="128">
        <v>1184.3353</v>
      </c>
      <c r="BM58" s="128">
        <v>824.6298</v>
      </c>
      <c r="BN58" s="128">
        <v>736.9876</v>
      </c>
      <c r="BO58" s="128">
        <v>737.5425</v>
      </c>
      <c r="BP58" s="128">
        <v>1022.9266</v>
      </c>
      <c r="BQ58" s="128">
        <v>1337.379</v>
      </c>
      <c r="BR58" s="128">
        <v>1444.8595</v>
      </c>
      <c r="BS58" s="128">
        <v>1453.5621</v>
      </c>
      <c r="BT58" s="128">
        <v>1310.9964</v>
      </c>
      <c r="BU58" s="128">
        <v>930.9387</v>
      </c>
      <c r="BV58" s="128">
        <v>0.0</v>
      </c>
      <c r="BW58" s="129">
        <v>1145.1129</v>
      </c>
      <c r="BX58" s="1"/>
      <c r="BY58" s="47"/>
      <c r="BZ58" s="47"/>
      <c r="CA58" s="47"/>
      <c r="CB58" s="47"/>
      <c r="CC58" s="47"/>
      <c r="CD58" s="47"/>
      <c r="CE58" s="47"/>
      <c r="CF58" s="47"/>
      <c r="CG58" s="47"/>
      <c r="CH58" s="47"/>
      <c r="CI58" s="47"/>
      <c r="CJ58" s="47"/>
      <c r="CK58" s="65"/>
      <c r="CL58" s="47"/>
      <c r="CM58" s="47"/>
      <c r="CN58" s="47"/>
      <c r="CO58" s="47"/>
      <c r="CP58" s="47"/>
      <c r="CQ58" s="47"/>
      <c r="CR58" s="47"/>
      <c r="CS58" s="47"/>
      <c r="CT58" s="47"/>
      <c r="CU58" s="47"/>
      <c r="CV58" s="47"/>
      <c r="CW58" s="47"/>
      <c r="CX58" s="47"/>
      <c r="CY58" s="65"/>
      <c r="CZ58" s="11"/>
      <c r="DA58" s="47">
        <f t="shared" si="373"/>
        <v>1294.834585</v>
      </c>
      <c r="DB58" s="47"/>
      <c r="DC58" s="47"/>
      <c r="DD58" s="47"/>
      <c r="DE58" s="47"/>
      <c r="DF58" s="47"/>
      <c r="DG58" s="47"/>
      <c r="DH58" s="47"/>
      <c r="DI58" s="47"/>
      <c r="DJ58" s="47"/>
      <c r="DK58" s="47"/>
      <c r="DL58" s="47"/>
      <c r="DM58" s="65">
        <f t="shared" si="374"/>
        <v>1294.834585</v>
      </c>
      <c r="DN58" s="1"/>
      <c r="DO58" s="132"/>
      <c r="DP58" s="132"/>
      <c r="DQ58" s="131"/>
    </row>
    <row r="59" outlineLevel="2">
      <c r="A59" s="15"/>
      <c r="B59" s="123" t="s">
        <v>72</v>
      </c>
      <c r="C59" s="124"/>
      <c r="D59" s="47">
        <f t="shared" ref="D59:G59" si="375">IFERROR(D80/D39,0)</f>
        <v>0</v>
      </c>
      <c r="E59" s="47">
        <f t="shared" si="375"/>
        <v>0</v>
      </c>
      <c r="F59" s="47">
        <f t="shared" si="375"/>
        <v>0</v>
      </c>
      <c r="G59" s="47">
        <f t="shared" si="375"/>
        <v>0</v>
      </c>
      <c r="H59" s="125"/>
      <c r="I59" s="66">
        <f t="shared" si="355"/>
        <v>0</v>
      </c>
      <c r="J59" s="67">
        <f t="shared" si="356"/>
        <v>0</v>
      </c>
      <c r="K59" s="66">
        <f t="shared" si="357"/>
        <v>0</v>
      </c>
      <c r="L59" s="67">
        <f t="shared" si="358"/>
        <v>0</v>
      </c>
      <c r="M59" s="66">
        <f t="shared" si="359"/>
        <v>0</v>
      </c>
      <c r="N59" s="67">
        <f t="shared" si="360"/>
        <v>0</v>
      </c>
      <c r="O59" s="125"/>
      <c r="P59" s="47">
        <f t="shared" ref="P59:R59" si="376">IFERROR(P80/P39,0)</f>
        <v>0</v>
      </c>
      <c r="Q59" s="47">
        <f t="shared" si="376"/>
        <v>0</v>
      </c>
      <c r="R59" s="47">
        <f t="shared" si="376"/>
        <v>0</v>
      </c>
      <c r="S59" s="125"/>
      <c r="T59" s="66">
        <f t="shared" si="362"/>
        <v>0</v>
      </c>
      <c r="U59" s="67">
        <f t="shared" si="363"/>
        <v>0</v>
      </c>
      <c r="V59" s="66">
        <f t="shared" si="364"/>
        <v>0</v>
      </c>
      <c r="W59" s="67">
        <f t="shared" si="365"/>
        <v>0</v>
      </c>
      <c r="X59" s="125"/>
      <c r="Y59" s="47">
        <f t="shared" ref="Y59:AB59" si="377">IFERROR(Y80/Y39,0)</f>
        <v>0</v>
      </c>
      <c r="Z59" s="47">
        <f t="shared" si="377"/>
        <v>0</v>
      </c>
      <c r="AA59" s="47">
        <f t="shared" si="377"/>
        <v>0</v>
      </c>
      <c r="AB59" s="47">
        <f t="shared" si="377"/>
        <v>0</v>
      </c>
      <c r="AC59" s="125"/>
      <c r="AD59" s="66">
        <f t="shared" si="367"/>
        <v>0</v>
      </c>
      <c r="AE59" s="67">
        <f t="shared" si="368"/>
        <v>0</v>
      </c>
      <c r="AF59" s="66">
        <f t="shared" si="369"/>
        <v>0</v>
      </c>
      <c r="AG59" s="67">
        <f t="shared" si="370"/>
        <v>0</v>
      </c>
      <c r="AH59" s="126"/>
      <c r="AI59" s="47">
        <f t="shared" ref="AI59:AU59" si="378">IFERROR(AI80/AI39,0)</f>
        <v>0</v>
      </c>
      <c r="AJ59" s="47">
        <f t="shared" si="378"/>
        <v>0</v>
      </c>
      <c r="AK59" s="47">
        <f t="shared" si="378"/>
        <v>0</v>
      </c>
      <c r="AL59" s="47">
        <f t="shared" si="378"/>
        <v>0</v>
      </c>
      <c r="AM59" s="47">
        <f t="shared" si="378"/>
        <v>0</v>
      </c>
      <c r="AN59" s="47">
        <f t="shared" si="378"/>
        <v>0</v>
      </c>
      <c r="AO59" s="47">
        <f t="shared" si="378"/>
        <v>0</v>
      </c>
      <c r="AP59" s="47">
        <f t="shared" si="378"/>
        <v>0</v>
      </c>
      <c r="AQ59" s="47">
        <f t="shared" si="378"/>
        <v>0</v>
      </c>
      <c r="AR59" s="47">
        <f t="shared" si="378"/>
        <v>0</v>
      </c>
      <c r="AS59" s="47">
        <f t="shared" si="378"/>
        <v>0</v>
      </c>
      <c r="AT59" s="47">
        <f t="shared" si="378"/>
        <v>0</v>
      </c>
      <c r="AU59" s="65">
        <f t="shared" si="378"/>
        <v>0</v>
      </c>
      <c r="AV59" s="127"/>
      <c r="AW59" s="47">
        <f t="shared" ref="AW59:BI59" si="379">IFERROR(AW80/AW39,0)</f>
        <v>0</v>
      </c>
      <c r="AX59" s="47">
        <f t="shared" si="379"/>
        <v>0</v>
      </c>
      <c r="AY59" s="47">
        <f t="shared" si="379"/>
        <v>0</v>
      </c>
      <c r="AZ59" s="47">
        <f t="shared" si="379"/>
        <v>0</v>
      </c>
      <c r="BA59" s="47">
        <f t="shared" si="379"/>
        <v>0</v>
      </c>
      <c r="BB59" s="47">
        <f t="shared" si="379"/>
        <v>0</v>
      </c>
      <c r="BC59" s="47">
        <f t="shared" si="379"/>
        <v>0</v>
      </c>
      <c r="BD59" s="47">
        <f t="shared" si="379"/>
        <v>0</v>
      </c>
      <c r="BE59" s="47">
        <f t="shared" si="379"/>
        <v>0</v>
      </c>
      <c r="BF59" s="47">
        <f t="shared" si="379"/>
        <v>0</v>
      </c>
      <c r="BG59" s="47">
        <f t="shared" si="379"/>
        <v>0</v>
      </c>
      <c r="BH59" s="47">
        <f t="shared" si="379"/>
        <v>0</v>
      </c>
      <c r="BI59" s="65">
        <f t="shared" si="379"/>
        <v>0</v>
      </c>
      <c r="BJ59" s="126"/>
      <c r="BK59" s="128">
        <v>0.0</v>
      </c>
      <c r="BL59" s="128">
        <v>0.0</v>
      </c>
      <c r="BM59" s="128">
        <v>0.0</v>
      </c>
      <c r="BN59" s="128">
        <v>0.0</v>
      </c>
      <c r="BO59" s="128">
        <v>0.0</v>
      </c>
      <c r="BP59" s="128">
        <v>0.0</v>
      </c>
      <c r="BQ59" s="128">
        <v>0.0</v>
      </c>
      <c r="BR59" s="128">
        <v>0.0</v>
      </c>
      <c r="BS59" s="128">
        <v>0.0</v>
      </c>
      <c r="BT59" s="128">
        <v>0.0</v>
      </c>
      <c r="BU59" s="128">
        <v>0.0</v>
      </c>
      <c r="BV59" s="128">
        <v>0.0</v>
      </c>
      <c r="BW59" s="129">
        <v>0.0</v>
      </c>
      <c r="BX59" s="1"/>
      <c r="BY59" s="47"/>
      <c r="BZ59" s="47"/>
      <c r="CA59" s="47"/>
      <c r="CB59" s="47"/>
      <c r="CC59" s="47"/>
      <c r="CD59" s="47"/>
      <c r="CE59" s="47"/>
      <c r="CF59" s="47"/>
      <c r="CG59" s="47"/>
      <c r="CH59" s="47"/>
      <c r="CI59" s="47"/>
      <c r="CJ59" s="47"/>
      <c r="CK59" s="65"/>
      <c r="CL59" s="47"/>
      <c r="CM59" s="47"/>
      <c r="CN59" s="47"/>
      <c r="CO59" s="47"/>
      <c r="CP59" s="47"/>
      <c r="CQ59" s="47"/>
      <c r="CR59" s="47"/>
      <c r="CS59" s="47"/>
      <c r="CT59" s="47"/>
      <c r="CU59" s="47"/>
      <c r="CV59" s="47"/>
      <c r="CW59" s="47"/>
      <c r="CX59" s="47"/>
      <c r="CY59" s="65"/>
      <c r="CZ59" s="11"/>
      <c r="DA59" s="47">
        <f t="shared" si="373"/>
        <v>0</v>
      </c>
      <c r="DB59" s="47"/>
      <c r="DC59" s="47"/>
      <c r="DD59" s="47"/>
      <c r="DE59" s="47"/>
      <c r="DF59" s="47"/>
      <c r="DG59" s="47"/>
      <c r="DH59" s="47"/>
      <c r="DI59" s="47"/>
      <c r="DJ59" s="47"/>
      <c r="DK59" s="47"/>
      <c r="DL59" s="47"/>
      <c r="DM59" s="65">
        <f t="shared" si="374"/>
        <v>0</v>
      </c>
      <c r="DN59" s="1"/>
      <c r="DO59" s="132"/>
      <c r="DP59" s="132"/>
      <c r="DQ59" s="131"/>
    </row>
    <row r="60" outlineLevel="2">
      <c r="A60" s="15"/>
      <c r="B60" s="123" t="s">
        <v>73</v>
      </c>
      <c r="C60" s="124"/>
      <c r="D60" s="47">
        <f t="shared" ref="D60:G60" si="380">IFERROR(D81/D40,0)</f>
        <v>0</v>
      </c>
      <c r="E60" s="47">
        <f t="shared" si="380"/>
        <v>0</v>
      </c>
      <c r="F60" s="47">
        <f t="shared" si="380"/>
        <v>0</v>
      </c>
      <c r="G60" s="47">
        <f t="shared" si="380"/>
        <v>0</v>
      </c>
      <c r="H60" s="125"/>
      <c r="I60" s="66">
        <f t="shared" si="355"/>
        <v>0</v>
      </c>
      <c r="J60" s="67">
        <f t="shared" si="356"/>
        <v>0</v>
      </c>
      <c r="K60" s="66">
        <f t="shared" si="357"/>
        <v>0</v>
      </c>
      <c r="L60" s="67">
        <f t="shared" si="358"/>
        <v>0</v>
      </c>
      <c r="M60" s="66">
        <f t="shared" si="359"/>
        <v>0</v>
      </c>
      <c r="N60" s="67">
        <f t="shared" si="360"/>
        <v>0</v>
      </c>
      <c r="O60" s="125"/>
      <c r="P60" s="47">
        <f t="shared" ref="P60:R60" si="381">IFERROR(P81/P40,0)</f>
        <v>0</v>
      </c>
      <c r="Q60" s="47">
        <f t="shared" si="381"/>
        <v>0</v>
      </c>
      <c r="R60" s="47">
        <f t="shared" si="381"/>
        <v>0</v>
      </c>
      <c r="S60" s="125"/>
      <c r="T60" s="66">
        <f t="shared" si="362"/>
        <v>0</v>
      </c>
      <c r="U60" s="67">
        <f t="shared" si="363"/>
        <v>0</v>
      </c>
      <c r="V60" s="66">
        <f t="shared" si="364"/>
        <v>0</v>
      </c>
      <c r="W60" s="67">
        <f t="shared" si="365"/>
        <v>0</v>
      </c>
      <c r="X60" s="125"/>
      <c r="Y60" s="47">
        <f t="shared" ref="Y60:AB60" si="382">IFERROR(Y81/Y40,0)</f>
        <v>0</v>
      </c>
      <c r="Z60" s="47">
        <f t="shared" si="382"/>
        <v>0</v>
      </c>
      <c r="AA60" s="47">
        <f t="shared" si="382"/>
        <v>0</v>
      </c>
      <c r="AB60" s="47">
        <f t="shared" si="382"/>
        <v>0</v>
      </c>
      <c r="AC60" s="125"/>
      <c r="AD60" s="66">
        <f t="shared" si="367"/>
        <v>0</v>
      </c>
      <c r="AE60" s="67">
        <f t="shared" si="368"/>
        <v>0</v>
      </c>
      <c r="AF60" s="66">
        <f t="shared" si="369"/>
        <v>0</v>
      </c>
      <c r="AG60" s="67">
        <f t="shared" si="370"/>
        <v>0</v>
      </c>
      <c r="AH60" s="126"/>
      <c r="AI60" s="47">
        <f t="shared" ref="AI60:AU60" si="383">IFERROR(AI81/AI40,0)</f>
        <v>0</v>
      </c>
      <c r="AJ60" s="47">
        <f t="shared" si="383"/>
        <v>0</v>
      </c>
      <c r="AK60" s="47">
        <f t="shared" si="383"/>
        <v>0</v>
      </c>
      <c r="AL60" s="47">
        <f t="shared" si="383"/>
        <v>0</v>
      </c>
      <c r="AM60" s="47">
        <f t="shared" si="383"/>
        <v>0</v>
      </c>
      <c r="AN60" s="47">
        <f t="shared" si="383"/>
        <v>0</v>
      </c>
      <c r="AO60" s="47">
        <f t="shared" si="383"/>
        <v>0</v>
      </c>
      <c r="AP60" s="47">
        <f t="shared" si="383"/>
        <v>0</v>
      </c>
      <c r="AQ60" s="47">
        <f t="shared" si="383"/>
        <v>0</v>
      </c>
      <c r="AR60" s="47">
        <f t="shared" si="383"/>
        <v>0</v>
      </c>
      <c r="AS60" s="47">
        <f t="shared" si="383"/>
        <v>0</v>
      </c>
      <c r="AT60" s="47">
        <f t="shared" si="383"/>
        <v>0</v>
      </c>
      <c r="AU60" s="65">
        <f t="shared" si="383"/>
        <v>0</v>
      </c>
      <c r="AV60" s="127"/>
      <c r="AW60" s="47">
        <f t="shared" ref="AW60:BI60" si="384">IFERROR(AW81/AW40,0)</f>
        <v>0</v>
      </c>
      <c r="AX60" s="47">
        <f t="shared" si="384"/>
        <v>0</v>
      </c>
      <c r="AY60" s="47">
        <f t="shared" si="384"/>
        <v>0</v>
      </c>
      <c r="AZ60" s="47">
        <f t="shared" si="384"/>
        <v>0</v>
      </c>
      <c r="BA60" s="47">
        <f t="shared" si="384"/>
        <v>0</v>
      </c>
      <c r="BB60" s="47">
        <f t="shared" si="384"/>
        <v>0</v>
      </c>
      <c r="BC60" s="47">
        <f t="shared" si="384"/>
        <v>0</v>
      </c>
      <c r="BD60" s="47">
        <f t="shared" si="384"/>
        <v>0</v>
      </c>
      <c r="BE60" s="47">
        <f t="shared" si="384"/>
        <v>0</v>
      </c>
      <c r="BF60" s="47">
        <f t="shared" si="384"/>
        <v>0</v>
      </c>
      <c r="BG60" s="47">
        <f t="shared" si="384"/>
        <v>0</v>
      </c>
      <c r="BH60" s="47">
        <f t="shared" si="384"/>
        <v>0</v>
      </c>
      <c r="BI60" s="65">
        <f t="shared" si="384"/>
        <v>0</v>
      </c>
      <c r="BJ60" s="126"/>
      <c r="BK60" s="128">
        <v>0.0</v>
      </c>
      <c r="BL60" s="128">
        <v>0.0</v>
      </c>
      <c r="BM60" s="128">
        <v>0.0</v>
      </c>
      <c r="BN60" s="128">
        <v>0.0</v>
      </c>
      <c r="BO60" s="128">
        <v>0.0</v>
      </c>
      <c r="BP60" s="128">
        <v>0.0</v>
      </c>
      <c r="BQ60" s="128">
        <v>0.0</v>
      </c>
      <c r="BR60" s="128">
        <v>0.0</v>
      </c>
      <c r="BS60" s="128">
        <v>0.0</v>
      </c>
      <c r="BT60" s="128">
        <v>0.0</v>
      </c>
      <c r="BU60" s="128">
        <v>0.0</v>
      </c>
      <c r="BV60" s="128">
        <v>0.0</v>
      </c>
      <c r="BW60" s="129">
        <v>0.0</v>
      </c>
      <c r="BX60" s="1"/>
      <c r="BY60" s="47"/>
      <c r="BZ60" s="47"/>
      <c r="CA60" s="47"/>
      <c r="CB60" s="47"/>
      <c r="CC60" s="47"/>
      <c r="CD60" s="47"/>
      <c r="CE60" s="47"/>
      <c r="CF60" s="47"/>
      <c r="CG60" s="47"/>
      <c r="CH60" s="47"/>
      <c r="CI60" s="47"/>
      <c r="CJ60" s="47"/>
      <c r="CK60" s="65"/>
      <c r="CL60" s="47"/>
      <c r="CM60" s="47"/>
      <c r="CN60" s="47"/>
      <c r="CO60" s="47"/>
      <c r="CP60" s="47"/>
      <c r="CQ60" s="47"/>
      <c r="CR60" s="47"/>
      <c r="CS60" s="47"/>
      <c r="CT60" s="47"/>
      <c r="CU60" s="47"/>
      <c r="CV60" s="47"/>
      <c r="CW60" s="47"/>
      <c r="CX60" s="47"/>
      <c r="CY60" s="65"/>
      <c r="CZ60" s="11"/>
      <c r="DA60" s="47">
        <f t="shared" si="373"/>
        <v>0</v>
      </c>
      <c r="DB60" s="47"/>
      <c r="DC60" s="47"/>
      <c r="DD60" s="47"/>
      <c r="DE60" s="47"/>
      <c r="DF60" s="47"/>
      <c r="DG60" s="47"/>
      <c r="DH60" s="47"/>
      <c r="DI60" s="47"/>
      <c r="DJ60" s="47"/>
      <c r="DK60" s="47"/>
      <c r="DL60" s="47"/>
      <c r="DM60" s="65">
        <f t="shared" si="374"/>
        <v>0</v>
      </c>
      <c r="DN60" s="1"/>
      <c r="DO60" s="132"/>
      <c r="DP60" s="132"/>
      <c r="DQ60" s="131"/>
    </row>
    <row r="61" outlineLevel="2">
      <c r="A61" s="15"/>
      <c r="B61" s="123" t="s">
        <v>74</v>
      </c>
      <c r="C61" s="124"/>
      <c r="D61" s="47">
        <f t="shared" ref="D61:G61" si="385">IFERROR(D82/D41,0)</f>
        <v>0</v>
      </c>
      <c r="E61" s="47">
        <f t="shared" si="385"/>
        <v>0</v>
      </c>
      <c r="F61" s="47">
        <f t="shared" si="385"/>
        <v>0</v>
      </c>
      <c r="G61" s="47">
        <f t="shared" si="385"/>
        <v>0</v>
      </c>
      <c r="H61" s="125"/>
      <c r="I61" s="66">
        <f t="shared" si="355"/>
        <v>0</v>
      </c>
      <c r="J61" s="67">
        <f t="shared" si="356"/>
        <v>0</v>
      </c>
      <c r="K61" s="66">
        <f t="shared" si="357"/>
        <v>0</v>
      </c>
      <c r="L61" s="67">
        <f t="shared" si="358"/>
        <v>0</v>
      </c>
      <c r="M61" s="66">
        <f t="shared" si="359"/>
        <v>0</v>
      </c>
      <c r="N61" s="67">
        <f t="shared" si="360"/>
        <v>0</v>
      </c>
      <c r="O61" s="125"/>
      <c r="P61" s="47">
        <f t="shared" ref="P61:R61" si="386">IFERROR(P82/P41,0)</f>
        <v>0</v>
      </c>
      <c r="Q61" s="47">
        <f t="shared" si="386"/>
        <v>0</v>
      </c>
      <c r="R61" s="47">
        <f t="shared" si="386"/>
        <v>0</v>
      </c>
      <c r="S61" s="125"/>
      <c r="T61" s="66">
        <f t="shared" si="362"/>
        <v>0</v>
      </c>
      <c r="U61" s="67">
        <f t="shared" si="363"/>
        <v>0</v>
      </c>
      <c r="V61" s="66">
        <f t="shared" si="364"/>
        <v>0</v>
      </c>
      <c r="W61" s="67">
        <f t="shared" si="365"/>
        <v>0</v>
      </c>
      <c r="X61" s="125"/>
      <c r="Y61" s="47">
        <f t="shared" ref="Y61:AB61" si="387">IFERROR(Y82/Y41,0)</f>
        <v>0</v>
      </c>
      <c r="Z61" s="47">
        <f t="shared" si="387"/>
        <v>0</v>
      </c>
      <c r="AA61" s="47">
        <f t="shared" si="387"/>
        <v>0</v>
      </c>
      <c r="AB61" s="47">
        <f t="shared" si="387"/>
        <v>0</v>
      </c>
      <c r="AC61" s="125"/>
      <c r="AD61" s="66">
        <f t="shared" si="367"/>
        <v>0</v>
      </c>
      <c r="AE61" s="67">
        <f t="shared" si="368"/>
        <v>0</v>
      </c>
      <c r="AF61" s="66">
        <f t="shared" si="369"/>
        <v>0</v>
      </c>
      <c r="AG61" s="67">
        <f t="shared" si="370"/>
        <v>0</v>
      </c>
      <c r="AH61" s="126"/>
      <c r="AI61" s="47">
        <f t="shared" ref="AI61:AU61" si="388">IFERROR(AI82/AI41,0)</f>
        <v>0</v>
      </c>
      <c r="AJ61" s="47">
        <f t="shared" si="388"/>
        <v>0</v>
      </c>
      <c r="AK61" s="47">
        <f t="shared" si="388"/>
        <v>0</v>
      </c>
      <c r="AL61" s="47">
        <f t="shared" si="388"/>
        <v>0</v>
      </c>
      <c r="AM61" s="47">
        <f t="shared" si="388"/>
        <v>0</v>
      </c>
      <c r="AN61" s="47">
        <f t="shared" si="388"/>
        <v>0</v>
      </c>
      <c r="AO61" s="47">
        <f t="shared" si="388"/>
        <v>0</v>
      </c>
      <c r="AP61" s="47">
        <f t="shared" si="388"/>
        <v>0</v>
      </c>
      <c r="AQ61" s="47">
        <f t="shared" si="388"/>
        <v>0</v>
      </c>
      <c r="AR61" s="47">
        <f t="shared" si="388"/>
        <v>0</v>
      </c>
      <c r="AS61" s="47">
        <f t="shared" si="388"/>
        <v>0</v>
      </c>
      <c r="AT61" s="47">
        <f t="shared" si="388"/>
        <v>0</v>
      </c>
      <c r="AU61" s="65">
        <f t="shared" si="388"/>
        <v>0</v>
      </c>
      <c r="AV61" s="127"/>
      <c r="AW61" s="47">
        <f t="shared" ref="AW61:BI61" si="389">IFERROR(AW82/AW41,0)</f>
        <v>0</v>
      </c>
      <c r="AX61" s="47">
        <f t="shared" si="389"/>
        <v>0</v>
      </c>
      <c r="AY61" s="47">
        <f t="shared" si="389"/>
        <v>0</v>
      </c>
      <c r="AZ61" s="47">
        <f t="shared" si="389"/>
        <v>0</v>
      </c>
      <c r="BA61" s="47">
        <f t="shared" si="389"/>
        <v>0</v>
      </c>
      <c r="BB61" s="47">
        <f t="shared" si="389"/>
        <v>0</v>
      </c>
      <c r="BC61" s="47">
        <f t="shared" si="389"/>
        <v>0</v>
      </c>
      <c r="BD61" s="47">
        <f t="shared" si="389"/>
        <v>0</v>
      </c>
      <c r="BE61" s="47">
        <f t="shared" si="389"/>
        <v>0</v>
      </c>
      <c r="BF61" s="47">
        <f t="shared" si="389"/>
        <v>0</v>
      </c>
      <c r="BG61" s="47">
        <f t="shared" si="389"/>
        <v>0</v>
      </c>
      <c r="BH61" s="47">
        <f t="shared" si="389"/>
        <v>0</v>
      </c>
      <c r="BI61" s="65">
        <f t="shared" si="389"/>
        <v>0</v>
      </c>
      <c r="BJ61" s="126"/>
      <c r="BK61" s="128">
        <v>0.0</v>
      </c>
      <c r="BL61" s="128">
        <v>0.0</v>
      </c>
      <c r="BM61" s="128">
        <v>0.0</v>
      </c>
      <c r="BN61" s="128">
        <v>0.0</v>
      </c>
      <c r="BO61" s="128">
        <v>0.0</v>
      </c>
      <c r="BP61" s="128">
        <v>0.0</v>
      </c>
      <c r="BQ61" s="128">
        <v>0.0</v>
      </c>
      <c r="BR61" s="128">
        <v>0.0</v>
      </c>
      <c r="BS61" s="128">
        <v>0.0</v>
      </c>
      <c r="BT61" s="128">
        <v>0.0</v>
      </c>
      <c r="BU61" s="128">
        <v>0.0</v>
      </c>
      <c r="BV61" s="128">
        <v>0.0</v>
      </c>
      <c r="BW61" s="129">
        <v>0.0</v>
      </c>
      <c r="BX61" s="1"/>
      <c r="BY61" s="47"/>
      <c r="BZ61" s="47"/>
      <c r="CA61" s="47"/>
      <c r="CB61" s="47"/>
      <c r="CC61" s="47"/>
      <c r="CD61" s="47"/>
      <c r="CE61" s="47"/>
      <c r="CF61" s="47"/>
      <c r="CG61" s="47"/>
      <c r="CH61" s="47"/>
      <c r="CI61" s="47"/>
      <c r="CJ61" s="47"/>
      <c r="CK61" s="65"/>
      <c r="CL61" s="47"/>
      <c r="CM61" s="47"/>
      <c r="CN61" s="47"/>
      <c r="CO61" s="47"/>
      <c r="CP61" s="47"/>
      <c r="CQ61" s="47"/>
      <c r="CR61" s="47"/>
      <c r="CS61" s="47"/>
      <c r="CT61" s="47"/>
      <c r="CU61" s="47"/>
      <c r="CV61" s="47"/>
      <c r="CW61" s="47"/>
      <c r="CX61" s="47"/>
      <c r="CY61" s="65"/>
      <c r="CZ61" s="11"/>
      <c r="DA61" s="47">
        <f t="shared" si="373"/>
        <v>0</v>
      </c>
      <c r="DB61" s="47"/>
      <c r="DC61" s="47"/>
      <c r="DD61" s="47"/>
      <c r="DE61" s="47"/>
      <c r="DF61" s="47"/>
      <c r="DG61" s="47"/>
      <c r="DH61" s="47"/>
      <c r="DI61" s="47"/>
      <c r="DJ61" s="47"/>
      <c r="DK61" s="47"/>
      <c r="DL61" s="47"/>
      <c r="DM61" s="65">
        <f t="shared" si="374"/>
        <v>0</v>
      </c>
      <c r="DN61" s="1"/>
      <c r="DO61" s="132"/>
      <c r="DP61" s="132"/>
      <c r="DQ61" s="131"/>
    </row>
    <row r="62" outlineLevel="1">
      <c r="A62" s="15"/>
      <c r="B62" s="133" t="s">
        <v>27</v>
      </c>
      <c r="C62" s="124"/>
      <c r="D62" s="57">
        <f t="shared" ref="D62:G62" si="390">IFERROR(D83/D42,0)</f>
        <v>0</v>
      </c>
      <c r="E62" s="57">
        <f t="shared" si="390"/>
        <v>0</v>
      </c>
      <c r="F62" s="57">
        <f t="shared" si="390"/>
        <v>1262.378396</v>
      </c>
      <c r="G62" s="57">
        <f t="shared" si="390"/>
        <v>0</v>
      </c>
      <c r="H62" s="125"/>
      <c r="I62" s="75">
        <f t="shared" si="355"/>
        <v>0</v>
      </c>
      <c r="J62" s="60">
        <f t="shared" si="356"/>
        <v>0</v>
      </c>
      <c r="K62" s="75">
        <f t="shared" si="357"/>
        <v>-1262.378396</v>
      </c>
      <c r="L62" s="60">
        <f t="shared" si="358"/>
        <v>-1</v>
      </c>
      <c r="M62" s="75">
        <f t="shared" si="359"/>
        <v>0</v>
      </c>
      <c r="N62" s="60">
        <f t="shared" si="360"/>
        <v>0</v>
      </c>
      <c r="O62" s="125"/>
      <c r="P62" s="57">
        <f t="shared" ref="P62:R62" si="391">IFERROR(P83/P42,0)</f>
        <v>0</v>
      </c>
      <c r="Q62" s="57">
        <f t="shared" si="391"/>
        <v>1136.526366</v>
      </c>
      <c r="R62" s="57">
        <f t="shared" si="391"/>
        <v>0</v>
      </c>
      <c r="S62" s="125"/>
      <c r="T62" s="75">
        <f t="shared" si="362"/>
        <v>-1136.526366</v>
      </c>
      <c r="U62" s="60">
        <f t="shared" si="363"/>
        <v>-1</v>
      </c>
      <c r="V62" s="75">
        <f t="shared" si="364"/>
        <v>0</v>
      </c>
      <c r="W62" s="60">
        <f t="shared" si="365"/>
        <v>0</v>
      </c>
      <c r="X62" s="125"/>
      <c r="Y62" s="57">
        <f t="shared" ref="Y62:AB62" si="392">IFERROR(Y83/Y42,0)</f>
        <v>1396.828471</v>
      </c>
      <c r="Z62" s="57">
        <f t="shared" si="392"/>
        <v>1450.666858</v>
      </c>
      <c r="AA62" s="57">
        <f t="shared" si="392"/>
        <v>1324.126463</v>
      </c>
      <c r="AB62" s="57">
        <f t="shared" si="392"/>
        <v>0</v>
      </c>
      <c r="AC62" s="125"/>
      <c r="AD62" s="75">
        <f t="shared" si="367"/>
        <v>72.70200764</v>
      </c>
      <c r="AE62" s="60">
        <f t="shared" si="368"/>
        <v>0.05490563754</v>
      </c>
      <c r="AF62" s="75">
        <f t="shared" si="369"/>
        <v>1396.828471</v>
      </c>
      <c r="AG62" s="60">
        <f t="shared" si="370"/>
        <v>0</v>
      </c>
      <c r="AH62" s="134"/>
      <c r="AI62" s="57">
        <f t="shared" ref="AI62:AU62" si="393">IFERROR(AI83/AI42,0)</f>
        <v>0</v>
      </c>
      <c r="AJ62" s="57">
        <f t="shared" si="393"/>
        <v>0</v>
      </c>
      <c r="AK62" s="57">
        <f t="shared" si="393"/>
        <v>0</v>
      </c>
      <c r="AL62" s="57">
        <f t="shared" si="393"/>
        <v>0</v>
      </c>
      <c r="AM62" s="57">
        <f t="shared" si="393"/>
        <v>0</v>
      </c>
      <c r="AN62" s="57">
        <f t="shared" si="393"/>
        <v>0</v>
      </c>
      <c r="AO62" s="57">
        <f t="shared" si="393"/>
        <v>0</v>
      </c>
      <c r="AP62" s="57">
        <f t="shared" si="393"/>
        <v>0</v>
      </c>
      <c r="AQ62" s="57">
        <f t="shared" si="393"/>
        <v>0</v>
      </c>
      <c r="AR62" s="57">
        <f t="shared" si="393"/>
        <v>1512.677865</v>
      </c>
      <c r="AS62" s="57">
        <f t="shared" si="393"/>
        <v>1236.031607</v>
      </c>
      <c r="AT62" s="57">
        <f t="shared" si="393"/>
        <v>1348.250541</v>
      </c>
      <c r="AU62" s="57">
        <f t="shared" si="393"/>
        <v>1396.828471</v>
      </c>
      <c r="AV62" s="127"/>
      <c r="AW62" s="57">
        <f t="shared" ref="AW62:BI62" si="394">IFERROR(AW83/AW42,0)</f>
        <v>0</v>
      </c>
      <c r="AX62" s="57">
        <f t="shared" si="394"/>
        <v>0</v>
      </c>
      <c r="AY62" s="57">
        <f t="shared" si="394"/>
        <v>0</v>
      </c>
      <c r="AZ62" s="57">
        <f t="shared" si="394"/>
        <v>0</v>
      </c>
      <c r="BA62" s="57">
        <f t="shared" si="394"/>
        <v>0</v>
      </c>
      <c r="BB62" s="57">
        <f t="shared" si="394"/>
        <v>0</v>
      </c>
      <c r="BC62" s="57">
        <f t="shared" si="394"/>
        <v>1485.302268</v>
      </c>
      <c r="BD62" s="57">
        <f t="shared" si="394"/>
        <v>1501.70891</v>
      </c>
      <c r="BE62" s="57">
        <f t="shared" si="394"/>
        <v>1466.597642</v>
      </c>
      <c r="BF62" s="57">
        <f t="shared" si="394"/>
        <v>1512.677865</v>
      </c>
      <c r="BG62" s="57">
        <f t="shared" si="394"/>
        <v>1236.031607</v>
      </c>
      <c r="BH62" s="57">
        <f t="shared" si="394"/>
        <v>1348.250541</v>
      </c>
      <c r="BI62" s="57">
        <f t="shared" si="394"/>
        <v>1450.666858</v>
      </c>
      <c r="BJ62" s="134"/>
      <c r="BK62" s="135">
        <v>1348.3397</v>
      </c>
      <c r="BL62" s="135">
        <v>1251.3501</v>
      </c>
      <c r="BM62" s="135">
        <v>1160.86</v>
      </c>
      <c r="BN62" s="135">
        <v>872.8293</v>
      </c>
      <c r="BO62" s="135">
        <v>835.7783</v>
      </c>
      <c r="BP62" s="135">
        <v>1262.3784</v>
      </c>
      <c r="BQ62" s="135">
        <v>1485.3023</v>
      </c>
      <c r="BR62" s="135">
        <v>1501.7089</v>
      </c>
      <c r="BS62" s="135">
        <v>1466.5976</v>
      </c>
      <c r="BT62" s="135">
        <v>1512.6779</v>
      </c>
      <c r="BU62" s="135">
        <v>1236.0316</v>
      </c>
      <c r="BV62" s="135">
        <v>1348.2505</v>
      </c>
      <c r="BW62" s="135">
        <v>1324.1265</v>
      </c>
      <c r="BX62" s="1"/>
      <c r="BY62" s="57"/>
      <c r="BZ62" s="57"/>
      <c r="CA62" s="57"/>
      <c r="CB62" s="57"/>
      <c r="CC62" s="57"/>
      <c r="CD62" s="57"/>
      <c r="CE62" s="57"/>
      <c r="CF62" s="57"/>
      <c r="CG62" s="57"/>
      <c r="CH62" s="57"/>
      <c r="CI62" s="57"/>
      <c r="CJ62" s="57"/>
      <c r="CK62" s="57"/>
      <c r="CL62" s="47"/>
      <c r="CM62" s="57"/>
      <c r="CN62" s="57"/>
      <c r="CO62" s="57"/>
      <c r="CP62" s="57"/>
      <c r="CQ62" s="57"/>
      <c r="CR62" s="57"/>
      <c r="CS62" s="57"/>
      <c r="CT62" s="57"/>
      <c r="CU62" s="57"/>
      <c r="CV62" s="57"/>
      <c r="CW62" s="57"/>
      <c r="CX62" s="57"/>
      <c r="CY62" s="57"/>
      <c r="CZ62" s="11"/>
      <c r="DA62" s="57">
        <f t="shared" si="373"/>
        <v>1348.339676</v>
      </c>
      <c r="DB62" s="57"/>
      <c r="DC62" s="57"/>
      <c r="DD62" s="57"/>
      <c r="DE62" s="57"/>
      <c r="DF62" s="57"/>
      <c r="DG62" s="57"/>
      <c r="DH62" s="57"/>
      <c r="DI62" s="57"/>
      <c r="DJ62" s="57"/>
      <c r="DK62" s="57"/>
      <c r="DL62" s="57"/>
      <c r="DM62" s="57">
        <f t="shared" si="374"/>
        <v>1348.339676</v>
      </c>
      <c r="DN62" s="1"/>
      <c r="DO62" s="153"/>
      <c r="DP62" s="153"/>
      <c r="DQ62" s="131"/>
    </row>
    <row r="63" outlineLevel="1">
      <c r="A63" s="15"/>
      <c r="B63" s="123" t="s">
        <v>28</v>
      </c>
      <c r="C63" s="124"/>
      <c r="D63" s="47">
        <f t="shared" ref="D63:G63" si="395">IFERROR(D83/D36,0)</f>
        <v>0</v>
      </c>
      <c r="E63" s="47">
        <f t="shared" si="395"/>
        <v>0</v>
      </c>
      <c r="F63" s="47">
        <f t="shared" si="395"/>
        <v>781.0966327</v>
      </c>
      <c r="G63" s="47">
        <f t="shared" si="395"/>
        <v>0</v>
      </c>
      <c r="H63" s="125"/>
      <c r="I63" s="66">
        <f t="shared" si="355"/>
        <v>0</v>
      </c>
      <c r="J63" s="67">
        <f t="shared" si="356"/>
        <v>0</v>
      </c>
      <c r="K63" s="66">
        <f t="shared" si="357"/>
        <v>-781.0966327</v>
      </c>
      <c r="L63" s="67">
        <f t="shared" si="358"/>
        <v>-1</v>
      </c>
      <c r="M63" s="66">
        <f t="shared" si="359"/>
        <v>0</v>
      </c>
      <c r="N63" s="67">
        <f t="shared" si="360"/>
        <v>0</v>
      </c>
      <c r="O63" s="125"/>
      <c r="P63" s="47">
        <f t="shared" ref="P63:R63" si="396">IFERROR(P83/P36,0)</f>
        <v>0</v>
      </c>
      <c r="Q63" s="47">
        <f t="shared" si="396"/>
        <v>595.3420225</v>
      </c>
      <c r="R63" s="47">
        <f t="shared" si="396"/>
        <v>0</v>
      </c>
      <c r="S63" s="125"/>
      <c r="T63" s="66">
        <f t="shared" si="362"/>
        <v>-595.3420225</v>
      </c>
      <c r="U63" s="67">
        <f t="shared" si="363"/>
        <v>-1</v>
      </c>
      <c r="V63" s="66">
        <f t="shared" si="364"/>
        <v>0</v>
      </c>
      <c r="W63" s="67">
        <f t="shared" si="365"/>
        <v>0</v>
      </c>
      <c r="X63" s="125"/>
      <c r="Y63" s="47">
        <f t="shared" ref="Y63:AB63" si="397">IFERROR(Y83/Y36,0)</f>
        <v>833.162634</v>
      </c>
      <c r="Z63" s="47">
        <f t="shared" si="397"/>
        <v>1108.203044</v>
      </c>
      <c r="AA63" s="47">
        <f t="shared" si="397"/>
        <v>853.8801815</v>
      </c>
      <c r="AB63" s="47">
        <f t="shared" si="397"/>
        <v>0</v>
      </c>
      <c r="AC63" s="125"/>
      <c r="AD63" s="66">
        <f t="shared" si="367"/>
        <v>-20.71754747</v>
      </c>
      <c r="AE63" s="67">
        <f t="shared" si="368"/>
        <v>-0.02426282741</v>
      </c>
      <c r="AF63" s="66">
        <f t="shared" si="369"/>
        <v>833.162634</v>
      </c>
      <c r="AG63" s="67">
        <f t="shared" si="370"/>
        <v>0</v>
      </c>
      <c r="AH63" s="126"/>
      <c r="AI63" s="47">
        <f t="shared" ref="AI63:AU63" si="398">IFERROR(AI83/AI36,0)</f>
        <v>0</v>
      </c>
      <c r="AJ63" s="47">
        <f t="shared" si="398"/>
        <v>0</v>
      </c>
      <c r="AK63" s="47">
        <f t="shared" si="398"/>
        <v>0</v>
      </c>
      <c r="AL63" s="47">
        <f t="shared" si="398"/>
        <v>0</v>
      </c>
      <c r="AM63" s="47">
        <f t="shared" si="398"/>
        <v>0</v>
      </c>
      <c r="AN63" s="47">
        <f t="shared" si="398"/>
        <v>0</v>
      </c>
      <c r="AO63" s="47">
        <f t="shared" si="398"/>
        <v>0</v>
      </c>
      <c r="AP63" s="47">
        <f t="shared" si="398"/>
        <v>0</v>
      </c>
      <c r="AQ63" s="47">
        <f t="shared" si="398"/>
        <v>0</v>
      </c>
      <c r="AR63" s="47">
        <f t="shared" si="398"/>
        <v>1265.64781</v>
      </c>
      <c r="AS63" s="47">
        <f t="shared" si="398"/>
        <v>587.1150133</v>
      </c>
      <c r="AT63" s="47">
        <f t="shared" si="398"/>
        <v>638.7880587</v>
      </c>
      <c r="AU63" s="65">
        <f t="shared" si="398"/>
        <v>833.162634</v>
      </c>
      <c r="AV63" s="127"/>
      <c r="AW63" s="47">
        <f t="shared" ref="AW63:BI63" si="399">IFERROR(AW83/AW36,0)</f>
        <v>0</v>
      </c>
      <c r="AX63" s="47">
        <f t="shared" si="399"/>
        <v>0</v>
      </c>
      <c r="AY63" s="47">
        <f t="shared" si="399"/>
        <v>0</v>
      </c>
      <c r="AZ63" s="47">
        <f t="shared" si="399"/>
        <v>0</v>
      </c>
      <c r="BA63" s="47">
        <f t="shared" si="399"/>
        <v>0</v>
      </c>
      <c r="BB63" s="47">
        <f t="shared" si="399"/>
        <v>0</v>
      </c>
      <c r="BC63" s="47">
        <f t="shared" si="399"/>
        <v>1440.383853</v>
      </c>
      <c r="BD63" s="47">
        <f t="shared" si="399"/>
        <v>1416.93502</v>
      </c>
      <c r="BE63" s="47">
        <f t="shared" si="399"/>
        <v>1289.38376</v>
      </c>
      <c r="BF63" s="47">
        <f t="shared" si="399"/>
        <v>1265.64781</v>
      </c>
      <c r="BG63" s="47">
        <f t="shared" si="399"/>
        <v>587.1150133</v>
      </c>
      <c r="BH63" s="47">
        <f t="shared" si="399"/>
        <v>638.7880587</v>
      </c>
      <c r="BI63" s="65">
        <f t="shared" si="399"/>
        <v>1108.203044</v>
      </c>
      <c r="BJ63" s="126"/>
      <c r="BK63" s="128">
        <v>742.1305</v>
      </c>
      <c r="BL63" s="128">
        <v>801.6462</v>
      </c>
      <c r="BM63" s="128">
        <v>451.7056</v>
      </c>
      <c r="BN63" s="128">
        <v>372.7709</v>
      </c>
      <c r="BO63" s="128">
        <v>441.4796</v>
      </c>
      <c r="BP63" s="128">
        <v>781.0966</v>
      </c>
      <c r="BQ63" s="128">
        <v>1440.3839</v>
      </c>
      <c r="BR63" s="128">
        <v>1416.935</v>
      </c>
      <c r="BS63" s="128">
        <v>1289.3838</v>
      </c>
      <c r="BT63" s="128">
        <v>1265.6478</v>
      </c>
      <c r="BU63" s="128">
        <v>587.115</v>
      </c>
      <c r="BV63" s="128">
        <v>638.7881</v>
      </c>
      <c r="BW63" s="129">
        <v>853.8802</v>
      </c>
      <c r="BX63" s="1"/>
      <c r="BY63" s="47"/>
      <c r="BZ63" s="47"/>
      <c r="CA63" s="47"/>
      <c r="CB63" s="47"/>
      <c r="CC63" s="47"/>
      <c r="CD63" s="47"/>
      <c r="CE63" s="47"/>
      <c r="CF63" s="47"/>
      <c r="CG63" s="47"/>
      <c r="CH63" s="47"/>
      <c r="CI63" s="47"/>
      <c r="CJ63" s="47"/>
      <c r="CK63" s="65"/>
      <c r="CL63" s="47"/>
      <c r="CM63" s="47"/>
      <c r="CN63" s="47"/>
      <c r="CO63" s="47"/>
      <c r="CP63" s="47"/>
      <c r="CQ63" s="47"/>
      <c r="CR63" s="47"/>
      <c r="CS63" s="47"/>
      <c r="CT63" s="47"/>
      <c r="CU63" s="47"/>
      <c r="CV63" s="47"/>
      <c r="CW63" s="47"/>
      <c r="CX63" s="47"/>
      <c r="CY63" s="65"/>
      <c r="CZ63" s="11"/>
      <c r="DA63" s="47">
        <f>IFERROR(DA83/DA36,0)</f>
        <v>742.1305071</v>
      </c>
      <c r="DB63" s="47"/>
      <c r="DC63" s="47"/>
      <c r="DD63" s="47"/>
      <c r="DE63" s="47"/>
      <c r="DF63" s="47"/>
      <c r="DG63" s="47"/>
      <c r="DH63" s="47"/>
      <c r="DI63" s="47"/>
      <c r="DJ63" s="47"/>
      <c r="DK63" s="47"/>
      <c r="DL63" s="47"/>
      <c r="DM63" s="65">
        <f>IFERROR(DM83/DM36,0)</f>
        <v>0</v>
      </c>
      <c r="DN63" s="1"/>
      <c r="DO63" s="132"/>
      <c r="DP63" s="132"/>
      <c r="DQ63" s="131"/>
    </row>
    <row r="64" outlineLevel="1">
      <c r="A64" s="15"/>
      <c r="B64" s="123" t="s">
        <v>75</v>
      </c>
      <c r="C64" s="124"/>
      <c r="D64" s="47">
        <f t="shared" ref="D64:G64" si="400">IFERROR((D87-D86)/D42,0)</f>
        <v>0</v>
      </c>
      <c r="E64" s="47">
        <f t="shared" si="400"/>
        <v>0</v>
      </c>
      <c r="F64" s="47">
        <f t="shared" si="400"/>
        <v>1519.721164</v>
      </c>
      <c r="G64" s="47">
        <f t="shared" si="400"/>
        <v>0</v>
      </c>
      <c r="H64" s="125"/>
      <c r="I64" s="66">
        <f t="shared" si="355"/>
        <v>0</v>
      </c>
      <c r="J64" s="67">
        <f t="shared" si="356"/>
        <v>0</v>
      </c>
      <c r="K64" s="66">
        <f t="shared" si="357"/>
        <v>-1519.721164</v>
      </c>
      <c r="L64" s="67">
        <f t="shared" si="358"/>
        <v>-1</v>
      </c>
      <c r="M64" s="66">
        <f t="shared" si="359"/>
        <v>0</v>
      </c>
      <c r="N64" s="67">
        <f t="shared" si="360"/>
        <v>0</v>
      </c>
      <c r="O64" s="125"/>
      <c r="P64" s="47">
        <f t="shared" ref="P64:R64" si="401">IFERROR((P87-P86)/P42,0)</f>
        <v>0</v>
      </c>
      <c r="Q64" s="47">
        <f t="shared" si="401"/>
        <v>1387.466976</v>
      </c>
      <c r="R64" s="47">
        <f t="shared" si="401"/>
        <v>0</v>
      </c>
      <c r="S64" s="125"/>
      <c r="T64" s="66">
        <f t="shared" si="362"/>
        <v>-1387.466976</v>
      </c>
      <c r="U64" s="67">
        <f t="shared" si="363"/>
        <v>-1</v>
      </c>
      <c r="V64" s="66">
        <f t="shared" si="364"/>
        <v>0</v>
      </c>
      <c r="W64" s="67">
        <f t="shared" si="365"/>
        <v>0</v>
      </c>
      <c r="X64" s="125"/>
      <c r="Y64" s="47">
        <f t="shared" ref="Y64:AB64" si="402">IFERROR((Y87-Y86)/Y42,0)</f>
        <v>1846.587173</v>
      </c>
      <c r="Z64" s="47">
        <f t="shared" si="402"/>
        <v>1896.446176</v>
      </c>
      <c r="AA64" s="47">
        <f t="shared" si="402"/>
        <v>1691.421894</v>
      </c>
      <c r="AB64" s="47">
        <f t="shared" si="402"/>
        <v>0</v>
      </c>
      <c r="AC64" s="125"/>
      <c r="AD64" s="66">
        <f t="shared" si="367"/>
        <v>155.1652794</v>
      </c>
      <c r="AE64" s="67">
        <f t="shared" si="368"/>
        <v>0.09173659154</v>
      </c>
      <c r="AF64" s="66">
        <f t="shared" si="369"/>
        <v>1846.587173</v>
      </c>
      <c r="AG64" s="67">
        <f t="shared" si="370"/>
        <v>0</v>
      </c>
      <c r="AH64" s="126"/>
      <c r="AI64" s="47">
        <f t="shared" ref="AI64:AU64" si="403">IFERROR((AI87-AI86)/AI42,0)</f>
        <v>0</v>
      </c>
      <c r="AJ64" s="47">
        <f t="shared" si="403"/>
        <v>0</v>
      </c>
      <c r="AK64" s="47">
        <f t="shared" si="403"/>
        <v>0</v>
      </c>
      <c r="AL64" s="47">
        <f t="shared" si="403"/>
        <v>0</v>
      </c>
      <c r="AM64" s="47">
        <f t="shared" si="403"/>
        <v>0</v>
      </c>
      <c r="AN64" s="47">
        <f t="shared" si="403"/>
        <v>0</v>
      </c>
      <c r="AO64" s="47">
        <f t="shared" si="403"/>
        <v>0</v>
      </c>
      <c r="AP64" s="47">
        <f t="shared" si="403"/>
        <v>0</v>
      </c>
      <c r="AQ64" s="47">
        <f t="shared" si="403"/>
        <v>0</v>
      </c>
      <c r="AR64" s="47">
        <f t="shared" si="403"/>
        <v>1966.348665</v>
      </c>
      <c r="AS64" s="47">
        <f t="shared" si="403"/>
        <v>1669.164892</v>
      </c>
      <c r="AT64" s="47">
        <f t="shared" si="403"/>
        <v>1807.230839</v>
      </c>
      <c r="AU64" s="65">
        <f t="shared" si="403"/>
        <v>1846.587173</v>
      </c>
      <c r="AV64" s="127"/>
      <c r="AW64" s="47">
        <f t="shared" ref="AW64:BI64" si="404">IFERROR((AW87-AW86)/AW42,0)</f>
        <v>0</v>
      </c>
      <c r="AX64" s="47">
        <f t="shared" si="404"/>
        <v>0</v>
      </c>
      <c r="AY64" s="47">
        <f t="shared" si="404"/>
        <v>0</v>
      </c>
      <c r="AZ64" s="47">
        <f t="shared" si="404"/>
        <v>0</v>
      </c>
      <c r="BA64" s="47">
        <f t="shared" si="404"/>
        <v>0</v>
      </c>
      <c r="BB64" s="47">
        <f t="shared" si="404"/>
        <v>0</v>
      </c>
      <c r="BC64" s="47">
        <f t="shared" si="404"/>
        <v>1913.24595</v>
      </c>
      <c r="BD64" s="47">
        <f t="shared" si="404"/>
        <v>1979.596809</v>
      </c>
      <c r="BE64" s="47">
        <f t="shared" si="404"/>
        <v>1888.818256</v>
      </c>
      <c r="BF64" s="47">
        <f t="shared" si="404"/>
        <v>1966.348665</v>
      </c>
      <c r="BG64" s="47">
        <f t="shared" si="404"/>
        <v>1669.164892</v>
      </c>
      <c r="BH64" s="47">
        <f t="shared" si="404"/>
        <v>1807.230839</v>
      </c>
      <c r="BI64" s="65">
        <f t="shared" si="404"/>
        <v>1896.446176</v>
      </c>
      <c r="BJ64" s="126"/>
      <c r="BK64" s="128">
        <v>1659.0003</v>
      </c>
      <c r="BL64" s="128">
        <v>1503.0149</v>
      </c>
      <c r="BM64" s="128">
        <v>1427.0304</v>
      </c>
      <c r="BN64" s="128">
        <v>1052.6743</v>
      </c>
      <c r="BO64" s="128">
        <v>1060.8504</v>
      </c>
      <c r="BP64" s="128">
        <v>1519.7212</v>
      </c>
      <c r="BQ64" s="128">
        <v>1913.2459</v>
      </c>
      <c r="BR64" s="128">
        <v>1979.5968</v>
      </c>
      <c r="BS64" s="128">
        <v>1888.8183</v>
      </c>
      <c r="BT64" s="128">
        <v>1966.3487</v>
      </c>
      <c r="BU64" s="128">
        <v>1669.1649</v>
      </c>
      <c r="BV64" s="128">
        <v>1807.2308</v>
      </c>
      <c r="BW64" s="129">
        <v>1691.4219</v>
      </c>
      <c r="BX64" s="1"/>
      <c r="BY64" s="47"/>
      <c r="BZ64" s="47"/>
      <c r="CA64" s="47"/>
      <c r="CB64" s="47"/>
      <c r="CC64" s="47"/>
      <c r="CD64" s="47"/>
      <c r="CE64" s="47"/>
      <c r="CF64" s="47"/>
      <c r="CG64" s="47"/>
      <c r="CH64" s="47"/>
      <c r="CI64" s="47"/>
      <c r="CJ64" s="47"/>
      <c r="CK64" s="65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65"/>
      <c r="CZ64" s="11"/>
      <c r="DA64" s="47">
        <f>IFERROR((DA87-DA86)/DA42,0)</f>
        <v>1659.000258</v>
      </c>
      <c r="DB64" s="47"/>
      <c r="DC64" s="47"/>
      <c r="DD64" s="47"/>
      <c r="DE64" s="47"/>
      <c r="DF64" s="47"/>
      <c r="DG64" s="47"/>
      <c r="DH64" s="47"/>
      <c r="DI64" s="47"/>
      <c r="DJ64" s="47"/>
      <c r="DK64" s="47"/>
      <c r="DL64" s="47"/>
      <c r="DM64" s="65">
        <f>IFERROR((DM87-DM86)/DM42,0)</f>
        <v>1659.000258</v>
      </c>
      <c r="DN64" s="1"/>
      <c r="DO64" s="130"/>
      <c r="DP64" s="130"/>
      <c r="DQ64" s="131"/>
    </row>
    <row r="65">
      <c r="A65" s="15"/>
      <c r="B65" s="124"/>
      <c r="C65" s="124"/>
      <c r="D65" s="95"/>
      <c r="E65" s="95"/>
      <c r="F65" s="95"/>
      <c r="G65" s="95"/>
      <c r="H65" s="125"/>
      <c r="I65" s="125"/>
      <c r="J65" s="125"/>
      <c r="K65" s="125"/>
      <c r="L65" s="125"/>
      <c r="M65" s="125"/>
      <c r="N65" s="125"/>
      <c r="O65" s="125"/>
      <c r="P65" s="95"/>
      <c r="Q65" s="95"/>
      <c r="R65" s="95"/>
      <c r="S65" s="125"/>
      <c r="T65" s="125"/>
      <c r="U65" s="125"/>
      <c r="V65" s="125"/>
      <c r="W65" s="125"/>
      <c r="X65" s="125"/>
      <c r="Y65" s="95"/>
      <c r="Z65" s="95"/>
      <c r="AA65" s="95"/>
      <c r="AB65" s="95"/>
      <c r="AC65" s="125"/>
      <c r="AD65" s="125"/>
      <c r="AE65" s="125"/>
      <c r="AF65" s="125"/>
      <c r="AG65" s="125"/>
      <c r="AH65" s="126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12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126"/>
      <c r="BK65" s="47"/>
      <c r="BL65" s="47"/>
      <c r="BM65" s="47"/>
      <c r="BN65" s="47"/>
      <c r="BO65" s="47"/>
      <c r="BP65" s="47"/>
      <c r="BQ65" s="47"/>
      <c r="BR65" s="47"/>
      <c r="BS65" s="47"/>
      <c r="BT65" s="47"/>
      <c r="BU65" s="47"/>
      <c r="BV65" s="47"/>
      <c r="BW65" s="47"/>
      <c r="BX65" s="1"/>
      <c r="BY65" s="47"/>
      <c r="BZ65" s="47"/>
      <c r="CA65" s="47"/>
      <c r="CB65" s="47"/>
      <c r="CC65" s="47"/>
      <c r="CD65" s="47"/>
      <c r="CE65" s="47"/>
      <c r="CF65" s="47"/>
      <c r="CG65" s="47"/>
      <c r="CH65" s="47"/>
      <c r="CI65" s="47"/>
      <c r="CJ65" s="47"/>
      <c r="CK65" s="47"/>
      <c r="CL65" s="47"/>
      <c r="CM65" s="47"/>
      <c r="CN65" s="47"/>
      <c r="CO65" s="47"/>
      <c r="CP65" s="47"/>
      <c r="CQ65" s="47"/>
      <c r="CR65" s="47"/>
      <c r="CS65" s="47"/>
      <c r="CT65" s="47"/>
      <c r="CU65" s="47"/>
      <c r="CV65" s="47"/>
      <c r="CW65" s="47"/>
      <c r="CX65" s="47"/>
      <c r="CY65" s="47"/>
      <c r="CZ65" s="11"/>
      <c r="DA65" s="95"/>
      <c r="DB65" s="95"/>
      <c r="DC65" s="95"/>
      <c r="DD65" s="95"/>
      <c r="DE65" s="95"/>
      <c r="DF65" s="95"/>
      <c r="DG65" s="95"/>
      <c r="DH65" s="95"/>
      <c r="DI65" s="95"/>
      <c r="DJ65" s="95"/>
      <c r="DK65" s="95"/>
      <c r="DL65" s="95"/>
      <c r="DM65" s="95"/>
      <c r="DN65" s="1"/>
      <c r="DO65" s="150"/>
      <c r="DP65" s="150"/>
      <c r="DQ65" s="131"/>
    </row>
    <row r="66">
      <c r="A66" s="151">
        <v>1.2</v>
      </c>
      <c r="B66" s="152" t="s">
        <v>76</v>
      </c>
      <c r="C66" s="124"/>
      <c r="D66" s="95"/>
      <c r="E66" s="95"/>
      <c r="F66" s="95"/>
      <c r="G66" s="95"/>
      <c r="H66" s="125"/>
      <c r="I66" s="125"/>
      <c r="J66" s="125"/>
      <c r="K66" s="125"/>
      <c r="L66" s="125"/>
      <c r="M66" s="125"/>
      <c r="N66" s="125"/>
      <c r="O66" s="125"/>
      <c r="P66" s="95"/>
      <c r="Q66" s="95"/>
      <c r="R66" s="95"/>
      <c r="S66" s="125"/>
      <c r="T66" s="125"/>
      <c r="U66" s="125"/>
      <c r="V66" s="125"/>
      <c r="W66" s="125"/>
      <c r="X66" s="125"/>
      <c r="Y66" s="95"/>
      <c r="Z66" s="95"/>
      <c r="AA66" s="95"/>
      <c r="AB66" s="95"/>
      <c r="AC66" s="125"/>
      <c r="AD66" s="125"/>
      <c r="AE66" s="125"/>
      <c r="AF66" s="125"/>
      <c r="AG66" s="125"/>
      <c r="AH66" s="134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12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134"/>
      <c r="BK66" s="47"/>
      <c r="BL66" s="47"/>
      <c r="BM66" s="47"/>
      <c r="BN66" s="47"/>
      <c r="BO66" s="47"/>
      <c r="BP66" s="47"/>
      <c r="BQ66" s="47"/>
      <c r="BR66" s="47"/>
      <c r="BS66" s="47"/>
      <c r="BT66" s="47"/>
      <c r="BU66" s="47"/>
      <c r="BV66" s="47"/>
      <c r="BW66" s="47"/>
      <c r="BX66" s="1"/>
      <c r="BY66" s="47"/>
      <c r="BZ66" s="47"/>
      <c r="CA66" s="47"/>
      <c r="CB66" s="47"/>
      <c r="CC66" s="47"/>
      <c r="CD66" s="47"/>
      <c r="CE66" s="47"/>
      <c r="CF66" s="47"/>
      <c r="CG66" s="47"/>
      <c r="CH66" s="47"/>
      <c r="CI66" s="47"/>
      <c r="CJ66" s="47"/>
      <c r="CK66" s="47"/>
      <c r="CL66" s="47"/>
      <c r="CM66" s="47"/>
      <c r="CN66" s="47"/>
      <c r="CO66" s="47"/>
      <c r="CP66" s="47"/>
      <c r="CQ66" s="47"/>
      <c r="CR66" s="47"/>
      <c r="CS66" s="47"/>
      <c r="CT66" s="47"/>
      <c r="CU66" s="47"/>
      <c r="CV66" s="47"/>
      <c r="CW66" s="47"/>
      <c r="CX66" s="47"/>
      <c r="CY66" s="47"/>
      <c r="CZ66" s="11"/>
      <c r="DA66" s="95"/>
      <c r="DB66" s="95"/>
      <c r="DC66" s="95"/>
      <c r="DD66" s="95"/>
      <c r="DE66" s="95"/>
      <c r="DF66" s="95"/>
      <c r="DG66" s="95"/>
      <c r="DH66" s="95"/>
      <c r="DI66" s="95"/>
      <c r="DJ66" s="95"/>
      <c r="DK66" s="95"/>
      <c r="DL66" s="95"/>
      <c r="DM66" s="95"/>
      <c r="DN66" s="1"/>
      <c r="DO66" s="150"/>
      <c r="DP66" s="150"/>
      <c r="DQ66" s="131"/>
    </row>
    <row r="67" outlineLevel="2">
      <c r="A67" s="154"/>
      <c r="B67" s="123" t="s">
        <v>77</v>
      </c>
      <c r="C67" s="124"/>
      <c r="D67" s="47">
        <f t="shared" ref="D67:G67" si="405">IFERROR(D93/D37,0)</f>
        <v>0</v>
      </c>
      <c r="E67" s="47">
        <f t="shared" si="405"/>
        <v>0</v>
      </c>
      <c r="F67" s="47">
        <f t="shared" si="405"/>
        <v>1088.997669</v>
      </c>
      <c r="G67" s="47">
        <f t="shared" si="405"/>
        <v>0</v>
      </c>
      <c r="H67" s="125"/>
      <c r="I67" s="66">
        <f t="shared" ref="I67:I74" si="411">D67-E67</f>
        <v>0</v>
      </c>
      <c r="J67" s="67">
        <f t="shared" ref="J67:J74" si="412">IFERROR(I67/(E67),0)</f>
        <v>0</v>
      </c>
      <c r="K67" s="66">
        <f t="shared" ref="K67:K74" si="413">D67-F67</f>
        <v>-1088.997669</v>
      </c>
      <c r="L67" s="67">
        <f t="shared" ref="L67:L74" si="414">IFERROR(K67/(F67),0)</f>
        <v>-1</v>
      </c>
      <c r="M67" s="66">
        <f t="shared" ref="M67:M74" si="415">D67-G67</f>
        <v>0</v>
      </c>
      <c r="N67" s="67">
        <f t="shared" ref="N67:N74" si="416">IFERROR(M67/G67,0)</f>
        <v>0</v>
      </c>
      <c r="O67" s="125"/>
      <c r="P67" s="47">
        <f t="shared" ref="P67:R67" si="406">IFERROR(P93/P37,0)</f>
        <v>0</v>
      </c>
      <c r="Q67" s="47">
        <f t="shared" si="406"/>
        <v>948.9488848</v>
      </c>
      <c r="R67" s="47">
        <f t="shared" si="406"/>
        <v>0</v>
      </c>
      <c r="S67" s="125"/>
      <c r="T67" s="66">
        <f t="shared" ref="T67:T74" si="418">P67-Q67</f>
        <v>-948.9488848</v>
      </c>
      <c r="U67" s="67">
        <f t="shared" ref="U67:U74" si="419">IFERROR(T67/Q67,0)</f>
        <v>-1</v>
      </c>
      <c r="V67" s="66">
        <f t="shared" ref="V67:V74" si="420">P67-R67</f>
        <v>0</v>
      </c>
      <c r="W67" s="67">
        <f t="shared" ref="W67:W74" si="421">IFERROR(V67/R67,0)</f>
        <v>0</v>
      </c>
      <c r="X67" s="125"/>
      <c r="Y67" s="47">
        <f t="shared" ref="Y67:AB67" si="407">IFERROR(Y93/Y37,0)</f>
        <v>1132.563748</v>
      </c>
      <c r="Z67" s="47">
        <f t="shared" si="407"/>
        <v>1175.49401</v>
      </c>
      <c r="AA67" s="47">
        <f t="shared" si="407"/>
        <v>1091.317402</v>
      </c>
      <c r="AB67" s="47">
        <f t="shared" si="407"/>
        <v>0</v>
      </c>
      <c r="AC67" s="125"/>
      <c r="AD67" s="66">
        <f t="shared" ref="AD67:AD74" si="423">Y67-AA67</f>
        <v>41.24634601</v>
      </c>
      <c r="AE67" s="67">
        <f t="shared" ref="AE67:AE74" si="424">IFERROR(AD67/AA67,0)</f>
        <v>0.03779500438</v>
      </c>
      <c r="AF67" s="66">
        <f t="shared" ref="AF67:AF74" si="425">Y67-AB67</f>
        <v>1132.563748</v>
      </c>
      <c r="AG67" s="67">
        <f t="shared" ref="AG67:AG74" si="426">IFERROR(AF67/AB67,0)</f>
        <v>0</v>
      </c>
      <c r="AH67" s="126"/>
      <c r="AI67" s="47">
        <f t="shared" ref="AI67:AU67" si="408">IFERROR(AI93/AI37,0)</f>
        <v>0</v>
      </c>
      <c r="AJ67" s="47">
        <f t="shared" si="408"/>
        <v>0</v>
      </c>
      <c r="AK67" s="47">
        <f t="shared" si="408"/>
        <v>0</v>
      </c>
      <c r="AL67" s="47">
        <f t="shared" si="408"/>
        <v>0</v>
      </c>
      <c r="AM67" s="47">
        <f t="shared" si="408"/>
        <v>0</v>
      </c>
      <c r="AN67" s="47">
        <f t="shared" si="408"/>
        <v>0</v>
      </c>
      <c r="AO67" s="47">
        <f t="shared" si="408"/>
        <v>0</v>
      </c>
      <c r="AP67" s="47">
        <f t="shared" si="408"/>
        <v>0</v>
      </c>
      <c r="AQ67" s="47">
        <f t="shared" si="408"/>
        <v>0</v>
      </c>
      <c r="AR67" s="47">
        <f t="shared" si="408"/>
        <v>1230.20687</v>
      </c>
      <c r="AS67" s="47">
        <f t="shared" si="408"/>
        <v>1011.042254</v>
      </c>
      <c r="AT67" s="47">
        <f t="shared" si="408"/>
        <v>1083.991489</v>
      </c>
      <c r="AU67" s="65">
        <f t="shared" si="408"/>
        <v>1132.563748</v>
      </c>
      <c r="AV67" s="127"/>
      <c r="AW67" s="47">
        <f t="shared" ref="AW67:BI67" si="409">IFERROR(AW93/AW37,0)</f>
        <v>0</v>
      </c>
      <c r="AX67" s="47">
        <f t="shared" si="409"/>
        <v>0</v>
      </c>
      <c r="AY67" s="47">
        <f t="shared" si="409"/>
        <v>0</v>
      </c>
      <c r="AZ67" s="47">
        <f t="shared" si="409"/>
        <v>0</v>
      </c>
      <c r="BA67" s="47">
        <f t="shared" si="409"/>
        <v>0</v>
      </c>
      <c r="BB67" s="47">
        <f t="shared" si="409"/>
        <v>0</v>
      </c>
      <c r="BC67" s="47">
        <f t="shared" si="409"/>
        <v>1221.921589</v>
      </c>
      <c r="BD67" s="47">
        <f t="shared" si="409"/>
        <v>1211.732124</v>
      </c>
      <c r="BE67" s="47">
        <f t="shared" si="409"/>
        <v>1181.343395</v>
      </c>
      <c r="BF67" s="47">
        <f t="shared" si="409"/>
        <v>1230.20687</v>
      </c>
      <c r="BG67" s="47">
        <f t="shared" si="409"/>
        <v>1011.042254</v>
      </c>
      <c r="BH67" s="47">
        <f t="shared" si="409"/>
        <v>1083.991489</v>
      </c>
      <c r="BI67" s="65">
        <f t="shared" si="409"/>
        <v>1175.49401</v>
      </c>
      <c r="BJ67" s="126"/>
      <c r="BK67" s="128">
        <v>1093.6987</v>
      </c>
      <c r="BL67" s="128">
        <v>1021.3583</v>
      </c>
      <c r="BM67" s="128">
        <v>993.6053</v>
      </c>
      <c r="BN67" s="128">
        <v>752.2672</v>
      </c>
      <c r="BO67" s="128">
        <v>686.5932</v>
      </c>
      <c r="BP67" s="128">
        <v>1088.9977</v>
      </c>
      <c r="BQ67" s="128">
        <v>1221.9217</v>
      </c>
      <c r="BR67" s="128">
        <v>1211.732</v>
      </c>
      <c r="BS67" s="128">
        <v>1181.3434</v>
      </c>
      <c r="BT67" s="128">
        <v>1230.2068</v>
      </c>
      <c r="BU67" s="128">
        <v>1011.0423</v>
      </c>
      <c r="BV67" s="128">
        <v>1083.9915</v>
      </c>
      <c r="BW67" s="129">
        <v>1091.3174</v>
      </c>
      <c r="BX67" s="1"/>
      <c r="BY67" s="47"/>
      <c r="BZ67" s="47"/>
      <c r="CA67" s="47"/>
      <c r="CB67" s="47"/>
      <c r="CC67" s="47"/>
      <c r="CD67" s="47"/>
      <c r="CE67" s="47"/>
      <c r="CF67" s="47"/>
      <c r="CG67" s="47"/>
      <c r="CH67" s="47"/>
      <c r="CI67" s="47"/>
      <c r="CJ67" s="47"/>
      <c r="CK67" s="65"/>
      <c r="CL67" s="47"/>
      <c r="CM67" s="47"/>
      <c r="CN67" s="47"/>
      <c r="CO67" s="47"/>
      <c r="CP67" s="47"/>
      <c r="CQ67" s="47"/>
      <c r="CR67" s="47"/>
      <c r="CS67" s="47"/>
      <c r="CT67" s="47"/>
      <c r="CU67" s="47"/>
      <c r="CV67" s="47"/>
      <c r="CW67" s="47"/>
      <c r="CX67" s="47"/>
      <c r="CY67" s="65"/>
      <c r="CZ67" s="11"/>
      <c r="DA67" s="47">
        <f t="shared" ref="DA67:DA72" si="429">IFERROR(DA93/DA37,0)</f>
        <v>1093.698722</v>
      </c>
      <c r="DB67" s="47"/>
      <c r="DC67" s="47"/>
      <c r="DD67" s="47"/>
      <c r="DE67" s="47"/>
      <c r="DF67" s="47"/>
      <c r="DG67" s="47"/>
      <c r="DH67" s="47"/>
      <c r="DI67" s="47"/>
      <c r="DJ67" s="47"/>
      <c r="DK67" s="47"/>
      <c r="DL67" s="47"/>
      <c r="DM67" s="65">
        <f t="shared" ref="DM67:DM72" si="430">IFERROR(DM93/DM37,0)</f>
        <v>1093.698722</v>
      </c>
      <c r="DN67" s="1"/>
      <c r="DO67" s="132"/>
      <c r="DP67" s="132"/>
      <c r="DQ67" s="131"/>
    </row>
    <row r="68" outlineLevel="2">
      <c r="A68" s="154"/>
      <c r="B68" s="123" t="s">
        <v>78</v>
      </c>
      <c r="C68" s="124"/>
      <c r="D68" s="47">
        <f t="shared" ref="D68:G68" si="410">IFERROR(D94/D38,0)</f>
        <v>0</v>
      </c>
      <c r="E68" s="47">
        <f t="shared" si="410"/>
        <v>0</v>
      </c>
      <c r="F68" s="47">
        <f t="shared" si="410"/>
        <v>822.4363636</v>
      </c>
      <c r="G68" s="47">
        <f t="shared" si="410"/>
        <v>0</v>
      </c>
      <c r="H68" s="125"/>
      <c r="I68" s="66">
        <f t="shared" si="411"/>
        <v>0</v>
      </c>
      <c r="J68" s="67">
        <f t="shared" si="412"/>
        <v>0</v>
      </c>
      <c r="K68" s="66">
        <f t="shared" si="413"/>
        <v>-822.4363636</v>
      </c>
      <c r="L68" s="67">
        <f t="shared" si="414"/>
        <v>-1</v>
      </c>
      <c r="M68" s="66">
        <f t="shared" si="415"/>
        <v>0</v>
      </c>
      <c r="N68" s="67">
        <f t="shared" si="416"/>
        <v>0</v>
      </c>
      <c r="O68" s="125"/>
      <c r="P68" s="47">
        <f t="shared" ref="P68:R68" si="417">IFERROR(P94/P38,0)</f>
        <v>0</v>
      </c>
      <c r="Q68" s="47">
        <f t="shared" si="417"/>
        <v>790.4822873</v>
      </c>
      <c r="R68" s="47">
        <f t="shared" si="417"/>
        <v>0</v>
      </c>
      <c r="S68" s="125"/>
      <c r="T68" s="66">
        <f t="shared" si="418"/>
        <v>-790.4822873</v>
      </c>
      <c r="U68" s="67">
        <f t="shared" si="419"/>
        <v>-1</v>
      </c>
      <c r="V68" s="66">
        <f t="shared" si="420"/>
        <v>0</v>
      </c>
      <c r="W68" s="67">
        <f t="shared" si="421"/>
        <v>0</v>
      </c>
      <c r="X68" s="125"/>
      <c r="Y68" s="47">
        <f t="shared" ref="Y68:AB68" si="422">IFERROR(Y94/Y38,0)</f>
        <v>958.5640077</v>
      </c>
      <c r="Z68" s="47">
        <f t="shared" si="422"/>
        <v>1094.04916</v>
      </c>
      <c r="AA68" s="47">
        <f t="shared" si="422"/>
        <v>920.6723419</v>
      </c>
      <c r="AB68" s="47">
        <f t="shared" si="422"/>
        <v>0</v>
      </c>
      <c r="AC68" s="125"/>
      <c r="AD68" s="66">
        <f t="shared" si="423"/>
        <v>37.89166579</v>
      </c>
      <c r="AE68" s="67">
        <f t="shared" si="424"/>
        <v>0.0411565158</v>
      </c>
      <c r="AF68" s="66">
        <f t="shared" si="425"/>
        <v>958.5640077</v>
      </c>
      <c r="AG68" s="67">
        <f t="shared" si="426"/>
        <v>0</v>
      </c>
      <c r="AH68" s="126"/>
      <c r="AI68" s="47">
        <f t="shared" ref="AI68:AU68" si="427">IFERROR(AI94/AI38,0)</f>
        <v>0</v>
      </c>
      <c r="AJ68" s="47">
        <f t="shared" si="427"/>
        <v>0</v>
      </c>
      <c r="AK68" s="47">
        <f t="shared" si="427"/>
        <v>0</v>
      </c>
      <c r="AL68" s="47">
        <f t="shared" si="427"/>
        <v>0</v>
      </c>
      <c r="AM68" s="47">
        <f t="shared" si="427"/>
        <v>0</v>
      </c>
      <c r="AN68" s="47">
        <f t="shared" si="427"/>
        <v>0</v>
      </c>
      <c r="AO68" s="47">
        <f t="shared" si="427"/>
        <v>0</v>
      </c>
      <c r="AP68" s="47">
        <f t="shared" si="427"/>
        <v>0</v>
      </c>
      <c r="AQ68" s="47">
        <f t="shared" si="427"/>
        <v>0</v>
      </c>
      <c r="AR68" s="47">
        <f t="shared" si="427"/>
        <v>1054.02982</v>
      </c>
      <c r="AS68" s="47">
        <f t="shared" si="427"/>
        <v>748.4666667</v>
      </c>
      <c r="AT68" s="47">
        <f t="shared" si="427"/>
        <v>0</v>
      </c>
      <c r="AU68" s="65">
        <f t="shared" si="427"/>
        <v>958.5640077</v>
      </c>
      <c r="AV68" s="127"/>
      <c r="AW68" s="47">
        <f t="shared" ref="AW68:BI68" si="428">IFERROR(AW94/AW38,0)</f>
        <v>0</v>
      </c>
      <c r="AX68" s="47">
        <f t="shared" si="428"/>
        <v>0</v>
      </c>
      <c r="AY68" s="47">
        <f t="shared" si="428"/>
        <v>0</v>
      </c>
      <c r="AZ68" s="47">
        <f t="shared" si="428"/>
        <v>0</v>
      </c>
      <c r="BA68" s="47">
        <f t="shared" si="428"/>
        <v>0</v>
      </c>
      <c r="BB68" s="47">
        <f t="shared" si="428"/>
        <v>0</v>
      </c>
      <c r="BC68" s="47">
        <f t="shared" si="428"/>
        <v>1075.25747</v>
      </c>
      <c r="BD68" s="47">
        <f t="shared" si="428"/>
        <v>1161.666123</v>
      </c>
      <c r="BE68" s="47">
        <f t="shared" si="428"/>
        <v>1168.662383</v>
      </c>
      <c r="BF68" s="47">
        <f t="shared" si="428"/>
        <v>1054.02982</v>
      </c>
      <c r="BG68" s="47">
        <f t="shared" si="428"/>
        <v>748.4666667</v>
      </c>
      <c r="BH68" s="47">
        <f t="shared" si="428"/>
        <v>0</v>
      </c>
      <c r="BI68" s="65">
        <f t="shared" si="428"/>
        <v>1094.04916</v>
      </c>
      <c r="BJ68" s="126"/>
      <c r="BK68" s="128">
        <v>1041.0546</v>
      </c>
      <c r="BL68" s="128">
        <v>952.2056</v>
      </c>
      <c r="BM68" s="128">
        <v>663.013</v>
      </c>
      <c r="BN68" s="128">
        <v>592.5429</v>
      </c>
      <c r="BO68" s="128">
        <v>592.9771</v>
      </c>
      <c r="BP68" s="128">
        <v>822.4364</v>
      </c>
      <c r="BQ68" s="128">
        <v>1075.257</v>
      </c>
      <c r="BR68" s="128">
        <v>1161.6674</v>
      </c>
      <c r="BS68" s="128">
        <v>1168.6624</v>
      </c>
      <c r="BT68" s="128">
        <v>1054.031</v>
      </c>
      <c r="BU68" s="128">
        <v>748.4667</v>
      </c>
      <c r="BV68" s="128">
        <v>0.0</v>
      </c>
      <c r="BW68" s="129">
        <v>920.6723</v>
      </c>
      <c r="BX68" s="1"/>
      <c r="BY68" s="47"/>
      <c r="BZ68" s="47"/>
      <c r="CA68" s="47"/>
      <c r="CB68" s="47"/>
      <c r="CC68" s="47"/>
      <c r="CD68" s="47"/>
      <c r="CE68" s="47"/>
      <c r="CF68" s="47"/>
      <c r="CG68" s="47"/>
      <c r="CH68" s="47"/>
      <c r="CI68" s="47"/>
      <c r="CJ68" s="47"/>
      <c r="CK68" s="65"/>
      <c r="CL68" s="47"/>
      <c r="CM68" s="47"/>
      <c r="CN68" s="47"/>
      <c r="CO68" s="47"/>
      <c r="CP68" s="47"/>
      <c r="CQ68" s="47"/>
      <c r="CR68" s="47"/>
      <c r="CS68" s="47"/>
      <c r="CT68" s="47"/>
      <c r="CU68" s="47"/>
      <c r="CV68" s="47"/>
      <c r="CW68" s="47"/>
      <c r="CX68" s="47"/>
      <c r="CY68" s="65"/>
      <c r="CZ68" s="11"/>
      <c r="DA68" s="47">
        <f t="shared" si="429"/>
        <v>1041.054427</v>
      </c>
      <c r="DB68" s="47"/>
      <c r="DC68" s="47"/>
      <c r="DD68" s="47"/>
      <c r="DE68" s="47"/>
      <c r="DF68" s="47"/>
      <c r="DG68" s="47"/>
      <c r="DH68" s="47"/>
      <c r="DI68" s="47"/>
      <c r="DJ68" s="47"/>
      <c r="DK68" s="47"/>
      <c r="DL68" s="47"/>
      <c r="DM68" s="65">
        <f t="shared" si="430"/>
        <v>1041.054427</v>
      </c>
      <c r="DN68" s="1"/>
      <c r="DO68" s="132"/>
      <c r="DP68" s="132"/>
      <c r="DQ68" s="131"/>
    </row>
    <row r="69" outlineLevel="2">
      <c r="A69" s="154"/>
      <c r="B69" s="123" t="s">
        <v>79</v>
      </c>
      <c r="C69" s="124"/>
      <c r="D69" s="47">
        <f t="shared" ref="D69:G69" si="431">IFERROR(D95/D39,0)</f>
        <v>0</v>
      </c>
      <c r="E69" s="47">
        <f t="shared" si="431"/>
        <v>0</v>
      </c>
      <c r="F69" s="47">
        <f t="shared" si="431"/>
        <v>0</v>
      </c>
      <c r="G69" s="47">
        <f t="shared" si="431"/>
        <v>0</v>
      </c>
      <c r="H69" s="125"/>
      <c r="I69" s="66">
        <f t="shared" si="411"/>
        <v>0</v>
      </c>
      <c r="J69" s="67">
        <f t="shared" si="412"/>
        <v>0</v>
      </c>
      <c r="K69" s="66">
        <f t="shared" si="413"/>
        <v>0</v>
      </c>
      <c r="L69" s="67">
        <f t="shared" si="414"/>
        <v>0</v>
      </c>
      <c r="M69" s="66">
        <f t="shared" si="415"/>
        <v>0</v>
      </c>
      <c r="N69" s="67">
        <f t="shared" si="416"/>
        <v>0</v>
      </c>
      <c r="O69" s="125"/>
      <c r="P69" s="47">
        <f t="shared" ref="P69:R69" si="432">IFERROR(P95/P39,0)</f>
        <v>0</v>
      </c>
      <c r="Q69" s="47">
        <f t="shared" si="432"/>
        <v>0</v>
      </c>
      <c r="R69" s="47">
        <f t="shared" si="432"/>
        <v>0</v>
      </c>
      <c r="S69" s="125"/>
      <c r="T69" s="66">
        <f t="shared" si="418"/>
        <v>0</v>
      </c>
      <c r="U69" s="67">
        <f t="shared" si="419"/>
        <v>0</v>
      </c>
      <c r="V69" s="66">
        <f t="shared" si="420"/>
        <v>0</v>
      </c>
      <c r="W69" s="67">
        <f t="shared" si="421"/>
        <v>0</v>
      </c>
      <c r="X69" s="125"/>
      <c r="Y69" s="47">
        <f t="shared" ref="Y69:AB69" si="433">IFERROR(Y95/Y39,0)</f>
        <v>0</v>
      </c>
      <c r="Z69" s="47">
        <f t="shared" si="433"/>
        <v>0</v>
      </c>
      <c r="AA69" s="47">
        <f t="shared" si="433"/>
        <v>0</v>
      </c>
      <c r="AB69" s="47">
        <f t="shared" si="433"/>
        <v>0</v>
      </c>
      <c r="AC69" s="125"/>
      <c r="AD69" s="66">
        <f t="shared" si="423"/>
        <v>0</v>
      </c>
      <c r="AE69" s="67">
        <f t="shared" si="424"/>
        <v>0</v>
      </c>
      <c r="AF69" s="66">
        <f t="shared" si="425"/>
        <v>0</v>
      </c>
      <c r="AG69" s="67">
        <f t="shared" si="426"/>
        <v>0</v>
      </c>
      <c r="AH69" s="126"/>
      <c r="AI69" s="47">
        <f t="shared" ref="AI69:AU69" si="434">IFERROR(AI95/AI39,0)</f>
        <v>0</v>
      </c>
      <c r="AJ69" s="47">
        <f t="shared" si="434"/>
        <v>0</v>
      </c>
      <c r="AK69" s="47">
        <f t="shared" si="434"/>
        <v>0</v>
      </c>
      <c r="AL69" s="47">
        <f t="shared" si="434"/>
        <v>0</v>
      </c>
      <c r="AM69" s="47">
        <f t="shared" si="434"/>
        <v>0</v>
      </c>
      <c r="AN69" s="47">
        <f t="shared" si="434"/>
        <v>0</v>
      </c>
      <c r="AO69" s="47">
        <f t="shared" si="434"/>
        <v>0</v>
      </c>
      <c r="AP69" s="47">
        <f t="shared" si="434"/>
        <v>0</v>
      </c>
      <c r="AQ69" s="47">
        <f t="shared" si="434"/>
        <v>0</v>
      </c>
      <c r="AR69" s="47">
        <f t="shared" si="434"/>
        <v>0</v>
      </c>
      <c r="AS69" s="47">
        <f t="shared" si="434"/>
        <v>0</v>
      </c>
      <c r="AT69" s="47">
        <f t="shared" si="434"/>
        <v>0</v>
      </c>
      <c r="AU69" s="65">
        <f t="shared" si="434"/>
        <v>0</v>
      </c>
      <c r="AV69" s="127"/>
      <c r="AW69" s="47">
        <f t="shared" ref="AW69:BI69" si="435">IFERROR(AW95/AW39,0)</f>
        <v>0</v>
      </c>
      <c r="AX69" s="47">
        <f t="shared" si="435"/>
        <v>0</v>
      </c>
      <c r="AY69" s="47">
        <f t="shared" si="435"/>
        <v>0</v>
      </c>
      <c r="AZ69" s="47">
        <f t="shared" si="435"/>
        <v>0</v>
      </c>
      <c r="BA69" s="47">
        <f t="shared" si="435"/>
        <v>0</v>
      </c>
      <c r="BB69" s="47">
        <f t="shared" si="435"/>
        <v>0</v>
      </c>
      <c r="BC69" s="47">
        <f t="shared" si="435"/>
        <v>0</v>
      </c>
      <c r="BD69" s="47">
        <f t="shared" si="435"/>
        <v>0</v>
      </c>
      <c r="BE69" s="47">
        <f t="shared" si="435"/>
        <v>0</v>
      </c>
      <c r="BF69" s="47">
        <f t="shared" si="435"/>
        <v>0</v>
      </c>
      <c r="BG69" s="47">
        <f t="shared" si="435"/>
        <v>0</v>
      </c>
      <c r="BH69" s="47">
        <f t="shared" si="435"/>
        <v>0</v>
      </c>
      <c r="BI69" s="65">
        <f t="shared" si="435"/>
        <v>0</v>
      </c>
      <c r="BJ69" s="126"/>
      <c r="BK69" s="128">
        <v>0.0</v>
      </c>
      <c r="BL69" s="128">
        <v>0.0</v>
      </c>
      <c r="BM69" s="128">
        <v>0.0</v>
      </c>
      <c r="BN69" s="128">
        <v>0.0</v>
      </c>
      <c r="BO69" s="128">
        <v>0.0</v>
      </c>
      <c r="BP69" s="128">
        <v>0.0</v>
      </c>
      <c r="BQ69" s="128">
        <v>0.0</v>
      </c>
      <c r="BR69" s="128">
        <v>0.0</v>
      </c>
      <c r="BS69" s="128">
        <v>0.0</v>
      </c>
      <c r="BT69" s="128">
        <v>0.0</v>
      </c>
      <c r="BU69" s="128">
        <v>0.0</v>
      </c>
      <c r="BV69" s="128">
        <v>0.0</v>
      </c>
      <c r="BW69" s="129">
        <v>0.0</v>
      </c>
      <c r="BX69" s="1"/>
      <c r="BY69" s="47"/>
      <c r="BZ69" s="47"/>
      <c r="CA69" s="47"/>
      <c r="CB69" s="47"/>
      <c r="CC69" s="47"/>
      <c r="CD69" s="47"/>
      <c r="CE69" s="47"/>
      <c r="CF69" s="47"/>
      <c r="CG69" s="47"/>
      <c r="CH69" s="47"/>
      <c r="CI69" s="47"/>
      <c r="CJ69" s="47"/>
      <c r="CK69" s="65"/>
      <c r="CL69" s="47"/>
      <c r="CM69" s="47"/>
      <c r="CN69" s="47"/>
      <c r="CO69" s="47"/>
      <c r="CP69" s="47"/>
      <c r="CQ69" s="47"/>
      <c r="CR69" s="47"/>
      <c r="CS69" s="47"/>
      <c r="CT69" s="47"/>
      <c r="CU69" s="47"/>
      <c r="CV69" s="47"/>
      <c r="CW69" s="47"/>
      <c r="CX69" s="47"/>
      <c r="CY69" s="65"/>
      <c r="CZ69" s="11"/>
      <c r="DA69" s="47">
        <f t="shared" si="429"/>
        <v>0</v>
      </c>
      <c r="DB69" s="47"/>
      <c r="DC69" s="47"/>
      <c r="DD69" s="47"/>
      <c r="DE69" s="47"/>
      <c r="DF69" s="47"/>
      <c r="DG69" s="47"/>
      <c r="DH69" s="47"/>
      <c r="DI69" s="47"/>
      <c r="DJ69" s="47"/>
      <c r="DK69" s="47"/>
      <c r="DL69" s="47"/>
      <c r="DM69" s="65">
        <f t="shared" si="430"/>
        <v>0</v>
      </c>
      <c r="DN69" s="1"/>
      <c r="DO69" s="132"/>
      <c r="DP69" s="132"/>
      <c r="DQ69" s="131"/>
    </row>
    <row r="70" outlineLevel="2">
      <c r="A70" s="154"/>
      <c r="B70" s="123" t="s">
        <v>80</v>
      </c>
      <c r="C70" s="124"/>
      <c r="D70" s="47">
        <f t="shared" ref="D70:G70" si="436">IFERROR(D96/D40,0)</f>
        <v>0</v>
      </c>
      <c r="E70" s="47">
        <f t="shared" si="436"/>
        <v>0</v>
      </c>
      <c r="F70" s="47">
        <f t="shared" si="436"/>
        <v>0</v>
      </c>
      <c r="G70" s="47">
        <f t="shared" si="436"/>
        <v>0</v>
      </c>
      <c r="H70" s="125"/>
      <c r="I70" s="66">
        <f t="shared" si="411"/>
        <v>0</v>
      </c>
      <c r="J70" s="67">
        <f t="shared" si="412"/>
        <v>0</v>
      </c>
      <c r="K70" s="66">
        <f t="shared" si="413"/>
        <v>0</v>
      </c>
      <c r="L70" s="67">
        <f t="shared" si="414"/>
        <v>0</v>
      </c>
      <c r="M70" s="66">
        <f t="shared" si="415"/>
        <v>0</v>
      </c>
      <c r="N70" s="67">
        <f t="shared" si="416"/>
        <v>0</v>
      </c>
      <c r="O70" s="125"/>
      <c r="P70" s="47">
        <f t="shared" ref="P70:R70" si="437">IFERROR(P96/P40,0)</f>
        <v>0</v>
      </c>
      <c r="Q70" s="47">
        <f t="shared" si="437"/>
        <v>0</v>
      </c>
      <c r="R70" s="47">
        <f t="shared" si="437"/>
        <v>0</v>
      </c>
      <c r="S70" s="125"/>
      <c r="T70" s="66">
        <f t="shared" si="418"/>
        <v>0</v>
      </c>
      <c r="U70" s="67">
        <f t="shared" si="419"/>
        <v>0</v>
      </c>
      <c r="V70" s="66">
        <f t="shared" si="420"/>
        <v>0</v>
      </c>
      <c r="W70" s="67">
        <f t="shared" si="421"/>
        <v>0</v>
      </c>
      <c r="X70" s="125"/>
      <c r="Y70" s="47">
        <f t="shared" ref="Y70:AB70" si="438">IFERROR(Y96/Y40,0)</f>
        <v>0</v>
      </c>
      <c r="Z70" s="47">
        <f t="shared" si="438"/>
        <v>0</v>
      </c>
      <c r="AA70" s="47">
        <f t="shared" si="438"/>
        <v>0</v>
      </c>
      <c r="AB70" s="47">
        <f t="shared" si="438"/>
        <v>0</v>
      </c>
      <c r="AC70" s="125"/>
      <c r="AD70" s="66">
        <f t="shared" si="423"/>
        <v>0</v>
      </c>
      <c r="AE70" s="67">
        <f t="shared" si="424"/>
        <v>0</v>
      </c>
      <c r="AF70" s="66">
        <f t="shared" si="425"/>
        <v>0</v>
      </c>
      <c r="AG70" s="67">
        <f t="shared" si="426"/>
        <v>0</v>
      </c>
      <c r="AH70" s="126"/>
      <c r="AI70" s="47">
        <f t="shared" ref="AI70:AU70" si="439">IFERROR(AI96/AI40,0)</f>
        <v>0</v>
      </c>
      <c r="AJ70" s="47">
        <f t="shared" si="439"/>
        <v>0</v>
      </c>
      <c r="AK70" s="47">
        <f t="shared" si="439"/>
        <v>0</v>
      </c>
      <c r="AL70" s="47">
        <f t="shared" si="439"/>
        <v>0</v>
      </c>
      <c r="AM70" s="47">
        <f t="shared" si="439"/>
        <v>0</v>
      </c>
      <c r="AN70" s="47">
        <f t="shared" si="439"/>
        <v>0</v>
      </c>
      <c r="AO70" s="47">
        <f t="shared" si="439"/>
        <v>0</v>
      </c>
      <c r="AP70" s="47">
        <f t="shared" si="439"/>
        <v>0</v>
      </c>
      <c r="AQ70" s="47">
        <f t="shared" si="439"/>
        <v>0</v>
      </c>
      <c r="AR70" s="47">
        <f t="shared" si="439"/>
        <v>0</v>
      </c>
      <c r="AS70" s="47">
        <f t="shared" si="439"/>
        <v>0</v>
      </c>
      <c r="AT70" s="47">
        <f t="shared" si="439"/>
        <v>0</v>
      </c>
      <c r="AU70" s="65">
        <f t="shared" si="439"/>
        <v>0</v>
      </c>
      <c r="AV70" s="127"/>
      <c r="AW70" s="47">
        <f t="shared" ref="AW70:BI70" si="440">IFERROR(AW96/AW40,0)</f>
        <v>0</v>
      </c>
      <c r="AX70" s="47">
        <f t="shared" si="440"/>
        <v>0</v>
      </c>
      <c r="AY70" s="47">
        <f t="shared" si="440"/>
        <v>0</v>
      </c>
      <c r="AZ70" s="47">
        <f t="shared" si="440"/>
        <v>0</v>
      </c>
      <c r="BA70" s="47">
        <f t="shared" si="440"/>
        <v>0</v>
      </c>
      <c r="BB70" s="47">
        <f t="shared" si="440"/>
        <v>0</v>
      </c>
      <c r="BC70" s="47">
        <f t="shared" si="440"/>
        <v>0</v>
      </c>
      <c r="BD70" s="47">
        <f t="shared" si="440"/>
        <v>0</v>
      </c>
      <c r="BE70" s="47">
        <f t="shared" si="440"/>
        <v>0</v>
      </c>
      <c r="BF70" s="47">
        <f t="shared" si="440"/>
        <v>0</v>
      </c>
      <c r="BG70" s="47">
        <f t="shared" si="440"/>
        <v>0</v>
      </c>
      <c r="BH70" s="47">
        <f t="shared" si="440"/>
        <v>0</v>
      </c>
      <c r="BI70" s="65">
        <f t="shared" si="440"/>
        <v>0</v>
      </c>
      <c r="BJ70" s="126"/>
      <c r="BK70" s="128">
        <v>0.0</v>
      </c>
      <c r="BL70" s="128">
        <v>0.0</v>
      </c>
      <c r="BM70" s="128">
        <v>0.0</v>
      </c>
      <c r="BN70" s="128">
        <v>0.0</v>
      </c>
      <c r="BO70" s="128">
        <v>0.0</v>
      </c>
      <c r="BP70" s="128">
        <v>0.0</v>
      </c>
      <c r="BQ70" s="128">
        <v>0.0</v>
      </c>
      <c r="BR70" s="128">
        <v>0.0</v>
      </c>
      <c r="BS70" s="128">
        <v>0.0</v>
      </c>
      <c r="BT70" s="128">
        <v>0.0</v>
      </c>
      <c r="BU70" s="128">
        <v>0.0</v>
      </c>
      <c r="BV70" s="128">
        <v>0.0</v>
      </c>
      <c r="BW70" s="129">
        <v>0.0</v>
      </c>
      <c r="BX70" s="1"/>
      <c r="BY70" s="47"/>
      <c r="BZ70" s="47"/>
      <c r="CA70" s="47"/>
      <c r="CB70" s="47"/>
      <c r="CC70" s="47"/>
      <c r="CD70" s="47"/>
      <c r="CE70" s="47"/>
      <c r="CF70" s="47"/>
      <c r="CG70" s="47"/>
      <c r="CH70" s="47"/>
      <c r="CI70" s="47"/>
      <c r="CJ70" s="47"/>
      <c r="CK70" s="65"/>
      <c r="CL70" s="47"/>
      <c r="CM70" s="47"/>
      <c r="CN70" s="47"/>
      <c r="CO70" s="47"/>
      <c r="CP70" s="47"/>
      <c r="CQ70" s="47"/>
      <c r="CR70" s="47"/>
      <c r="CS70" s="47"/>
      <c r="CT70" s="47"/>
      <c r="CU70" s="47"/>
      <c r="CV70" s="47"/>
      <c r="CW70" s="47"/>
      <c r="CX70" s="47"/>
      <c r="CY70" s="65"/>
      <c r="CZ70" s="11"/>
      <c r="DA70" s="47">
        <f t="shared" si="429"/>
        <v>0</v>
      </c>
      <c r="DB70" s="47"/>
      <c r="DC70" s="47"/>
      <c r="DD70" s="47"/>
      <c r="DE70" s="47"/>
      <c r="DF70" s="47"/>
      <c r="DG70" s="47"/>
      <c r="DH70" s="47"/>
      <c r="DI70" s="47"/>
      <c r="DJ70" s="47"/>
      <c r="DK70" s="47"/>
      <c r="DL70" s="47"/>
      <c r="DM70" s="65">
        <f t="shared" si="430"/>
        <v>0</v>
      </c>
      <c r="DN70" s="1"/>
      <c r="DO70" s="132"/>
      <c r="DP70" s="132"/>
      <c r="DQ70" s="131"/>
    </row>
    <row r="71" outlineLevel="2">
      <c r="A71" s="154"/>
      <c r="B71" s="123" t="s">
        <v>81</v>
      </c>
      <c r="C71" s="124"/>
      <c r="D71" s="47">
        <f t="shared" ref="D71:G71" si="441">IFERROR(D97/D41,0)</f>
        <v>0</v>
      </c>
      <c r="E71" s="47">
        <f t="shared" si="441"/>
        <v>0</v>
      </c>
      <c r="F71" s="47">
        <f t="shared" si="441"/>
        <v>0</v>
      </c>
      <c r="G71" s="47">
        <f t="shared" si="441"/>
        <v>0</v>
      </c>
      <c r="H71" s="125"/>
      <c r="I71" s="66">
        <f t="shared" si="411"/>
        <v>0</v>
      </c>
      <c r="J71" s="67">
        <f t="shared" si="412"/>
        <v>0</v>
      </c>
      <c r="K71" s="66">
        <f t="shared" si="413"/>
        <v>0</v>
      </c>
      <c r="L71" s="67">
        <f t="shared" si="414"/>
        <v>0</v>
      </c>
      <c r="M71" s="66">
        <f t="shared" si="415"/>
        <v>0</v>
      </c>
      <c r="N71" s="67">
        <f t="shared" si="416"/>
        <v>0</v>
      </c>
      <c r="O71" s="125"/>
      <c r="P71" s="47">
        <f t="shared" ref="P71:R71" si="442">IFERROR(P97/P41,0)</f>
        <v>0</v>
      </c>
      <c r="Q71" s="47">
        <f t="shared" si="442"/>
        <v>0</v>
      </c>
      <c r="R71" s="47">
        <f t="shared" si="442"/>
        <v>0</v>
      </c>
      <c r="S71" s="125"/>
      <c r="T71" s="66">
        <f t="shared" si="418"/>
        <v>0</v>
      </c>
      <c r="U71" s="67">
        <f t="shared" si="419"/>
        <v>0</v>
      </c>
      <c r="V71" s="66">
        <f t="shared" si="420"/>
        <v>0</v>
      </c>
      <c r="W71" s="67">
        <f t="shared" si="421"/>
        <v>0</v>
      </c>
      <c r="X71" s="125"/>
      <c r="Y71" s="47">
        <f t="shared" ref="Y71:AB71" si="443">IFERROR(Y97/Y41,0)</f>
        <v>0</v>
      </c>
      <c r="Z71" s="47">
        <f t="shared" si="443"/>
        <v>0</v>
      </c>
      <c r="AA71" s="47">
        <f t="shared" si="443"/>
        <v>0</v>
      </c>
      <c r="AB71" s="47">
        <f t="shared" si="443"/>
        <v>0</v>
      </c>
      <c r="AC71" s="125"/>
      <c r="AD71" s="66">
        <f t="shared" si="423"/>
        <v>0</v>
      </c>
      <c r="AE71" s="67">
        <f t="shared" si="424"/>
        <v>0</v>
      </c>
      <c r="AF71" s="66">
        <f t="shared" si="425"/>
        <v>0</v>
      </c>
      <c r="AG71" s="67">
        <f t="shared" si="426"/>
        <v>0</v>
      </c>
      <c r="AH71" s="126"/>
      <c r="AI71" s="47">
        <f t="shared" ref="AI71:AU71" si="444">IFERROR(AI97/AI41,0)</f>
        <v>0</v>
      </c>
      <c r="AJ71" s="47">
        <f t="shared" si="444"/>
        <v>0</v>
      </c>
      <c r="AK71" s="47">
        <f t="shared" si="444"/>
        <v>0</v>
      </c>
      <c r="AL71" s="47">
        <f t="shared" si="444"/>
        <v>0</v>
      </c>
      <c r="AM71" s="47">
        <f t="shared" si="444"/>
        <v>0</v>
      </c>
      <c r="AN71" s="47">
        <f t="shared" si="444"/>
        <v>0</v>
      </c>
      <c r="AO71" s="47">
        <f t="shared" si="444"/>
        <v>0</v>
      </c>
      <c r="AP71" s="47">
        <f t="shared" si="444"/>
        <v>0</v>
      </c>
      <c r="AQ71" s="47">
        <f t="shared" si="444"/>
        <v>0</v>
      </c>
      <c r="AR71" s="47">
        <f t="shared" si="444"/>
        <v>0</v>
      </c>
      <c r="AS71" s="47">
        <f t="shared" si="444"/>
        <v>0</v>
      </c>
      <c r="AT71" s="47">
        <f t="shared" si="444"/>
        <v>0</v>
      </c>
      <c r="AU71" s="65">
        <f t="shared" si="444"/>
        <v>0</v>
      </c>
      <c r="AV71" s="127"/>
      <c r="AW71" s="47">
        <f t="shared" ref="AW71:BI71" si="445">IFERROR(AW97/AW41,0)</f>
        <v>0</v>
      </c>
      <c r="AX71" s="47">
        <f t="shared" si="445"/>
        <v>0</v>
      </c>
      <c r="AY71" s="47">
        <f t="shared" si="445"/>
        <v>0</v>
      </c>
      <c r="AZ71" s="47">
        <f t="shared" si="445"/>
        <v>0</v>
      </c>
      <c r="BA71" s="47">
        <f t="shared" si="445"/>
        <v>0</v>
      </c>
      <c r="BB71" s="47">
        <f t="shared" si="445"/>
        <v>0</v>
      </c>
      <c r="BC71" s="47">
        <f t="shared" si="445"/>
        <v>0</v>
      </c>
      <c r="BD71" s="47">
        <f t="shared" si="445"/>
        <v>0</v>
      </c>
      <c r="BE71" s="47">
        <f t="shared" si="445"/>
        <v>0</v>
      </c>
      <c r="BF71" s="47">
        <f t="shared" si="445"/>
        <v>0</v>
      </c>
      <c r="BG71" s="47">
        <f t="shared" si="445"/>
        <v>0</v>
      </c>
      <c r="BH71" s="47">
        <f t="shared" si="445"/>
        <v>0</v>
      </c>
      <c r="BI71" s="65">
        <f t="shared" si="445"/>
        <v>0</v>
      </c>
      <c r="BJ71" s="126"/>
      <c r="BK71" s="128">
        <v>0.0</v>
      </c>
      <c r="BL71" s="128">
        <v>0.0</v>
      </c>
      <c r="BM71" s="128">
        <v>0.0</v>
      </c>
      <c r="BN71" s="128">
        <v>0.0</v>
      </c>
      <c r="BO71" s="128">
        <v>0.0</v>
      </c>
      <c r="BP71" s="128">
        <v>0.0</v>
      </c>
      <c r="BQ71" s="128">
        <v>0.0</v>
      </c>
      <c r="BR71" s="128">
        <v>0.0</v>
      </c>
      <c r="BS71" s="128">
        <v>0.0</v>
      </c>
      <c r="BT71" s="128">
        <v>0.0</v>
      </c>
      <c r="BU71" s="128">
        <v>0.0</v>
      </c>
      <c r="BV71" s="128">
        <v>0.0</v>
      </c>
      <c r="BW71" s="129">
        <v>0.0</v>
      </c>
      <c r="BX71" s="1"/>
      <c r="BY71" s="47"/>
      <c r="BZ71" s="47"/>
      <c r="CA71" s="47"/>
      <c r="CB71" s="47"/>
      <c r="CC71" s="47"/>
      <c r="CD71" s="47"/>
      <c r="CE71" s="47"/>
      <c r="CF71" s="47"/>
      <c r="CG71" s="47"/>
      <c r="CH71" s="47"/>
      <c r="CI71" s="47"/>
      <c r="CJ71" s="47"/>
      <c r="CK71" s="65"/>
      <c r="CL71" s="47"/>
      <c r="CM71" s="47"/>
      <c r="CN71" s="47"/>
      <c r="CO71" s="47"/>
      <c r="CP71" s="47"/>
      <c r="CQ71" s="47"/>
      <c r="CR71" s="47"/>
      <c r="CS71" s="47"/>
      <c r="CT71" s="47"/>
      <c r="CU71" s="47"/>
      <c r="CV71" s="47"/>
      <c r="CW71" s="47"/>
      <c r="CX71" s="47"/>
      <c r="CY71" s="65"/>
      <c r="CZ71" s="11"/>
      <c r="DA71" s="47">
        <f t="shared" si="429"/>
        <v>0</v>
      </c>
      <c r="DB71" s="47"/>
      <c r="DC71" s="47"/>
      <c r="DD71" s="47"/>
      <c r="DE71" s="47"/>
      <c r="DF71" s="47"/>
      <c r="DG71" s="47"/>
      <c r="DH71" s="47"/>
      <c r="DI71" s="47"/>
      <c r="DJ71" s="47"/>
      <c r="DK71" s="47"/>
      <c r="DL71" s="47"/>
      <c r="DM71" s="65">
        <f t="shared" si="430"/>
        <v>0</v>
      </c>
      <c r="DN71" s="1"/>
      <c r="DO71" s="132"/>
      <c r="DP71" s="132"/>
      <c r="DQ71" s="131"/>
    </row>
    <row r="72" outlineLevel="1">
      <c r="A72" s="15"/>
      <c r="B72" s="133" t="s">
        <v>82</v>
      </c>
      <c r="C72" s="124"/>
      <c r="D72" s="57">
        <f t="shared" ref="D72:G72" si="446">IFERROR(D98/D42,0)</f>
        <v>0</v>
      </c>
      <c r="E72" s="57">
        <f t="shared" si="446"/>
        <v>0</v>
      </c>
      <c r="F72" s="57">
        <f t="shared" si="446"/>
        <v>1014.952862</v>
      </c>
      <c r="G72" s="57">
        <f t="shared" si="446"/>
        <v>0</v>
      </c>
      <c r="H72" s="125"/>
      <c r="I72" s="75">
        <f t="shared" si="411"/>
        <v>0</v>
      </c>
      <c r="J72" s="60">
        <f t="shared" si="412"/>
        <v>0</v>
      </c>
      <c r="K72" s="75">
        <f t="shared" si="413"/>
        <v>-1014.952862</v>
      </c>
      <c r="L72" s="60">
        <f t="shared" si="414"/>
        <v>-1</v>
      </c>
      <c r="M72" s="75">
        <f t="shared" si="415"/>
        <v>0</v>
      </c>
      <c r="N72" s="60">
        <f t="shared" si="416"/>
        <v>0</v>
      </c>
      <c r="O72" s="125"/>
      <c r="P72" s="57">
        <f t="shared" ref="P72:R72" si="447">IFERROR(P98/P42,0)</f>
        <v>0</v>
      </c>
      <c r="Q72" s="57">
        <f t="shared" si="447"/>
        <v>913.7679631</v>
      </c>
      <c r="R72" s="57">
        <f t="shared" si="447"/>
        <v>0</v>
      </c>
      <c r="S72" s="125"/>
      <c r="T72" s="75">
        <f t="shared" si="418"/>
        <v>-913.7679631</v>
      </c>
      <c r="U72" s="60">
        <f t="shared" si="419"/>
        <v>-1</v>
      </c>
      <c r="V72" s="75">
        <f t="shared" si="420"/>
        <v>0</v>
      </c>
      <c r="W72" s="60">
        <f t="shared" si="421"/>
        <v>0</v>
      </c>
      <c r="X72" s="125"/>
      <c r="Y72" s="57">
        <f t="shared" ref="Y72:AB72" si="448">IFERROR(Y98/Y42,0)</f>
        <v>1123.048975</v>
      </c>
      <c r="Z72" s="57">
        <f t="shared" si="448"/>
        <v>1166.335705</v>
      </c>
      <c r="AA72" s="57">
        <f t="shared" si="448"/>
        <v>1064.597716</v>
      </c>
      <c r="AB72" s="57">
        <f t="shared" si="448"/>
        <v>0</v>
      </c>
      <c r="AC72" s="125"/>
      <c r="AD72" s="75">
        <f t="shared" si="423"/>
        <v>58.45125853</v>
      </c>
      <c r="AE72" s="60">
        <f t="shared" si="424"/>
        <v>0.05490454998</v>
      </c>
      <c r="AF72" s="75">
        <f t="shared" si="425"/>
        <v>1123.048975</v>
      </c>
      <c r="AG72" s="60">
        <f t="shared" si="426"/>
        <v>0</v>
      </c>
      <c r="AH72" s="134"/>
      <c r="AI72" s="57">
        <f t="shared" ref="AI72:AU72" si="449">IFERROR(AI98/AI42,0)</f>
        <v>0</v>
      </c>
      <c r="AJ72" s="57">
        <f t="shared" si="449"/>
        <v>0</v>
      </c>
      <c r="AK72" s="57">
        <f t="shared" si="449"/>
        <v>0</v>
      </c>
      <c r="AL72" s="57">
        <f t="shared" si="449"/>
        <v>0</v>
      </c>
      <c r="AM72" s="57">
        <f t="shared" si="449"/>
        <v>0</v>
      </c>
      <c r="AN72" s="57">
        <f t="shared" si="449"/>
        <v>0</v>
      </c>
      <c r="AO72" s="57">
        <f t="shared" si="449"/>
        <v>0</v>
      </c>
      <c r="AP72" s="57">
        <f t="shared" si="449"/>
        <v>0</v>
      </c>
      <c r="AQ72" s="57">
        <f t="shared" si="449"/>
        <v>0</v>
      </c>
      <c r="AR72" s="57">
        <f t="shared" si="449"/>
        <v>1216.192771</v>
      </c>
      <c r="AS72" s="57">
        <f t="shared" si="449"/>
        <v>993.7675439</v>
      </c>
      <c r="AT72" s="57">
        <f t="shared" si="449"/>
        <v>1083.991489</v>
      </c>
      <c r="AU72" s="57">
        <f t="shared" si="449"/>
        <v>1123.048975</v>
      </c>
      <c r="AV72" s="127"/>
      <c r="AW72" s="57">
        <f t="shared" ref="AW72:BI72" si="450">IFERROR(AW98/AW42,0)</f>
        <v>0</v>
      </c>
      <c r="AX72" s="57">
        <f t="shared" si="450"/>
        <v>0</v>
      </c>
      <c r="AY72" s="57">
        <f t="shared" si="450"/>
        <v>0</v>
      </c>
      <c r="AZ72" s="57">
        <f t="shared" si="450"/>
        <v>0</v>
      </c>
      <c r="BA72" s="57">
        <f t="shared" si="450"/>
        <v>0</v>
      </c>
      <c r="BB72" s="57">
        <f t="shared" si="450"/>
        <v>0</v>
      </c>
      <c r="BC72" s="57">
        <f t="shared" si="450"/>
        <v>1194.182952</v>
      </c>
      <c r="BD72" s="57">
        <f t="shared" si="450"/>
        <v>1207.373932</v>
      </c>
      <c r="BE72" s="57">
        <f t="shared" si="450"/>
        <v>1179.14455</v>
      </c>
      <c r="BF72" s="57">
        <f t="shared" si="450"/>
        <v>1216.192771</v>
      </c>
      <c r="BG72" s="57">
        <f t="shared" si="450"/>
        <v>993.7675439</v>
      </c>
      <c r="BH72" s="57">
        <f t="shared" si="450"/>
        <v>1083.991489</v>
      </c>
      <c r="BI72" s="57">
        <f t="shared" si="450"/>
        <v>1166.335705</v>
      </c>
      <c r="BJ72" s="134"/>
      <c r="BK72" s="135">
        <v>1084.0659</v>
      </c>
      <c r="BL72" s="135">
        <v>1006.0871</v>
      </c>
      <c r="BM72" s="135">
        <v>933.3316</v>
      </c>
      <c r="BN72" s="135">
        <v>701.7561</v>
      </c>
      <c r="BO72" s="135">
        <v>671.9656</v>
      </c>
      <c r="BP72" s="135">
        <v>1014.9529</v>
      </c>
      <c r="BQ72" s="135">
        <v>1194.183</v>
      </c>
      <c r="BR72" s="135">
        <v>1207.3739</v>
      </c>
      <c r="BS72" s="135">
        <v>1179.1445</v>
      </c>
      <c r="BT72" s="135">
        <v>1216.1928</v>
      </c>
      <c r="BU72" s="135">
        <v>993.7675</v>
      </c>
      <c r="BV72" s="135">
        <v>1083.9915</v>
      </c>
      <c r="BW72" s="135">
        <v>1064.5977</v>
      </c>
      <c r="BX72" s="1"/>
      <c r="BY72" s="57"/>
      <c r="BZ72" s="57"/>
      <c r="CA72" s="57"/>
      <c r="CB72" s="57"/>
      <c r="CC72" s="57"/>
      <c r="CD72" s="57"/>
      <c r="CE72" s="57"/>
      <c r="CF72" s="57"/>
      <c r="CG72" s="57"/>
      <c r="CH72" s="57"/>
      <c r="CI72" s="57"/>
      <c r="CJ72" s="57"/>
      <c r="CK72" s="57"/>
      <c r="CL72" s="47"/>
      <c r="CM72" s="57"/>
      <c r="CN72" s="57"/>
      <c r="CO72" s="57"/>
      <c r="CP72" s="57"/>
      <c r="CQ72" s="57"/>
      <c r="CR72" s="57"/>
      <c r="CS72" s="57"/>
      <c r="CT72" s="57"/>
      <c r="CU72" s="57"/>
      <c r="CV72" s="57"/>
      <c r="CW72" s="57"/>
      <c r="CX72" s="57"/>
      <c r="CY72" s="57"/>
      <c r="CZ72" s="11"/>
      <c r="DA72" s="57">
        <f t="shared" si="429"/>
        <v>1084.065934</v>
      </c>
      <c r="DB72" s="57"/>
      <c r="DC72" s="57"/>
      <c r="DD72" s="57"/>
      <c r="DE72" s="57"/>
      <c r="DF72" s="57"/>
      <c r="DG72" s="57"/>
      <c r="DH72" s="57"/>
      <c r="DI72" s="57"/>
      <c r="DJ72" s="57"/>
      <c r="DK72" s="57"/>
      <c r="DL72" s="57"/>
      <c r="DM72" s="57">
        <f t="shared" si="430"/>
        <v>1084.065934</v>
      </c>
      <c r="DN72" s="1"/>
      <c r="DO72" s="153"/>
      <c r="DP72" s="153"/>
      <c r="DQ72" s="131"/>
    </row>
    <row r="73" outlineLevel="1">
      <c r="A73" s="154"/>
      <c r="B73" s="123" t="s">
        <v>83</v>
      </c>
      <c r="C73" s="124"/>
      <c r="D73" s="47">
        <f t="shared" ref="D73:G73" si="451">IFERROR(D98/D36,0)</f>
        <v>0</v>
      </c>
      <c r="E73" s="47">
        <f t="shared" si="451"/>
        <v>0</v>
      </c>
      <c r="F73" s="47">
        <f t="shared" si="451"/>
        <v>628.0020833</v>
      </c>
      <c r="G73" s="47">
        <f t="shared" si="451"/>
        <v>0</v>
      </c>
      <c r="H73" s="125"/>
      <c r="I73" s="66">
        <f t="shared" si="411"/>
        <v>0</v>
      </c>
      <c r="J73" s="67">
        <f t="shared" si="412"/>
        <v>0</v>
      </c>
      <c r="K73" s="66">
        <f t="shared" si="413"/>
        <v>-628.0020833</v>
      </c>
      <c r="L73" s="67">
        <f t="shared" si="414"/>
        <v>-1</v>
      </c>
      <c r="M73" s="66">
        <f t="shared" si="415"/>
        <v>0</v>
      </c>
      <c r="N73" s="67">
        <f t="shared" si="416"/>
        <v>0</v>
      </c>
      <c r="O73" s="125"/>
      <c r="P73" s="47">
        <f t="shared" ref="P73:R73" si="452">IFERROR(P98/P36,0)</f>
        <v>0</v>
      </c>
      <c r="Q73" s="47">
        <f t="shared" si="452"/>
        <v>478.6553867</v>
      </c>
      <c r="R73" s="47">
        <f t="shared" si="452"/>
        <v>0</v>
      </c>
      <c r="S73" s="125"/>
      <c r="T73" s="66">
        <f t="shared" si="418"/>
        <v>-478.6553867</v>
      </c>
      <c r="U73" s="67">
        <f t="shared" si="419"/>
        <v>-1</v>
      </c>
      <c r="V73" s="66">
        <f t="shared" si="420"/>
        <v>0</v>
      </c>
      <c r="W73" s="67">
        <f t="shared" si="421"/>
        <v>0</v>
      </c>
      <c r="X73" s="125"/>
      <c r="Y73" s="47">
        <f t="shared" ref="Y73:AB73" si="453">IFERROR(Y98/Y36,0)</f>
        <v>669.8620924</v>
      </c>
      <c r="Z73" s="47">
        <f t="shared" si="453"/>
        <v>890.9949049</v>
      </c>
      <c r="AA73" s="47">
        <f t="shared" si="453"/>
        <v>686.5196918</v>
      </c>
      <c r="AB73" s="47">
        <f t="shared" si="453"/>
        <v>0</v>
      </c>
      <c r="AC73" s="125"/>
      <c r="AD73" s="66">
        <f t="shared" si="423"/>
        <v>-16.65759939</v>
      </c>
      <c r="AE73" s="67">
        <f t="shared" si="424"/>
        <v>-0.02426383335</v>
      </c>
      <c r="AF73" s="66">
        <f t="shared" si="425"/>
        <v>669.8620924</v>
      </c>
      <c r="AG73" s="67">
        <f t="shared" si="426"/>
        <v>0</v>
      </c>
      <c r="AH73" s="126"/>
      <c r="AI73" s="47">
        <f t="shared" ref="AI73:AU73" si="454">IFERROR(AI98/AI36,0)</f>
        <v>0</v>
      </c>
      <c r="AJ73" s="47">
        <f t="shared" si="454"/>
        <v>0</v>
      </c>
      <c r="AK73" s="47">
        <f t="shared" si="454"/>
        <v>0</v>
      </c>
      <c r="AL73" s="47">
        <f t="shared" si="454"/>
        <v>0</v>
      </c>
      <c r="AM73" s="47">
        <f t="shared" si="454"/>
        <v>0</v>
      </c>
      <c r="AN73" s="47">
        <f t="shared" si="454"/>
        <v>0</v>
      </c>
      <c r="AO73" s="47">
        <f t="shared" si="454"/>
        <v>0</v>
      </c>
      <c r="AP73" s="47">
        <f t="shared" si="454"/>
        <v>0</v>
      </c>
      <c r="AQ73" s="47">
        <f t="shared" si="454"/>
        <v>0</v>
      </c>
      <c r="AR73" s="47">
        <f t="shared" si="454"/>
        <v>1017.580645</v>
      </c>
      <c r="AS73" s="47">
        <f t="shared" si="454"/>
        <v>472.0395833</v>
      </c>
      <c r="AT73" s="47">
        <f t="shared" si="454"/>
        <v>513.5846774</v>
      </c>
      <c r="AU73" s="65">
        <f t="shared" si="454"/>
        <v>669.8620924</v>
      </c>
      <c r="AV73" s="127"/>
      <c r="AW73" s="47">
        <f t="shared" ref="AW73:BI73" si="455">IFERROR(AW98/AW36,0)</f>
        <v>0</v>
      </c>
      <c r="AX73" s="47">
        <f t="shared" si="455"/>
        <v>0</v>
      </c>
      <c r="AY73" s="47">
        <f t="shared" si="455"/>
        <v>0</v>
      </c>
      <c r="AZ73" s="47">
        <f t="shared" si="455"/>
        <v>0</v>
      </c>
      <c r="BA73" s="47">
        <f t="shared" si="455"/>
        <v>0</v>
      </c>
      <c r="BB73" s="47">
        <f t="shared" si="455"/>
        <v>0</v>
      </c>
      <c r="BC73" s="47">
        <f t="shared" si="455"/>
        <v>1158.068548</v>
      </c>
      <c r="BD73" s="47">
        <f t="shared" si="455"/>
        <v>1139.215726</v>
      </c>
      <c r="BE73" s="47">
        <f t="shared" si="455"/>
        <v>1036.664583</v>
      </c>
      <c r="BF73" s="47">
        <f t="shared" si="455"/>
        <v>1017.580645</v>
      </c>
      <c r="BG73" s="47">
        <f t="shared" si="455"/>
        <v>472.0395833</v>
      </c>
      <c r="BH73" s="47">
        <f t="shared" si="455"/>
        <v>513.5846774</v>
      </c>
      <c r="BI73" s="65">
        <f t="shared" si="455"/>
        <v>890.9949049</v>
      </c>
      <c r="BJ73" s="126"/>
      <c r="BK73" s="128">
        <v>596.6734</v>
      </c>
      <c r="BL73" s="128">
        <v>644.5246</v>
      </c>
      <c r="BM73" s="128">
        <v>363.1714</v>
      </c>
      <c r="BN73" s="128">
        <v>299.7083</v>
      </c>
      <c r="BO73" s="128">
        <v>354.9496</v>
      </c>
      <c r="BP73" s="128">
        <v>628.0021</v>
      </c>
      <c r="BQ73" s="128">
        <v>1158.0685</v>
      </c>
      <c r="BR73" s="128">
        <v>1139.2157</v>
      </c>
      <c r="BS73" s="128">
        <v>1036.6646</v>
      </c>
      <c r="BT73" s="128">
        <v>1017.5806</v>
      </c>
      <c r="BU73" s="128">
        <v>472.0396</v>
      </c>
      <c r="BV73" s="128">
        <v>513.5847</v>
      </c>
      <c r="BW73" s="129">
        <v>686.5197</v>
      </c>
      <c r="BX73" s="1"/>
      <c r="BY73" s="47"/>
      <c r="BZ73" s="47"/>
      <c r="CA73" s="47"/>
      <c r="CB73" s="47"/>
      <c r="CC73" s="47"/>
      <c r="CD73" s="47"/>
      <c r="CE73" s="47"/>
      <c r="CF73" s="47"/>
      <c r="CG73" s="47"/>
      <c r="CH73" s="47"/>
      <c r="CI73" s="47"/>
      <c r="CJ73" s="47"/>
      <c r="CK73" s="65"/>
      <c r="CL73" s="47"/>
      <c r="CM73" s="47"/>
      <c r="CN73" s="47"/>
      <c r="CO73" s="47"/>
      <c r="CP73" s="47"/>
      <c r="CQ73" s="47"/>
      <c r="CR73" s="47"/>
      <c r="CS73" s="47"/>
      <c r="CT73" s="47"/>
      <c r="CU73" s="47"/>
      <c r="CV73" s="47"/>
      <c r="CW73" s="47"/>
      <c r="CX73" s="47"/>
      <c r="CY73" s="65"/>
      <c r="CZ73" s="11"/>
      <c r="DA73" s="47">
        <f>IFERROR(DA98/DA36,0)</f>
        <v>596.6733871</v>
      </c>
      <c r="DB73" s="47"/>
      <c r="DC73" s="47"/>
      <c r="DD73" s="47"/>
      <c r="DE73" s="47"/>
      <c r="DF73" s="47"/>
      <c r="DG73" s="47"/>
      <c r="DH73" s="47"/>
      <c r="DI73" s="47"/>
      <c r="DJ73" s="47"/>
      <c r="DK73" s="47"/>
      <c r="DL73" s="47"/>
      <c r="DM73" s="65">
        <f>IFERROR(DM98/DM36,0)</f>
        <v>0</v>
      </c>
      <c r="DN73" s="1"/>
      <c r="DO73" s="132"/>
      <c r="DP73" s="132"/>
      <c r="DQ73" s="131"/>
    </row>
    <row r="74" outlineLevel="1">
      <c r="A74" s="154"/>
      <c r="B74" s="123" t="s">
        <v>84</v>
      </c>
      <c r="C74" s="124"/>
      <c r="D74" s="47">
        <f t="shared" ref="D74:G74" si="456">IFERROR((D111-D110)/D42,0)</f>
        <v>0</v>
      </c>
      <c r="E74" s="47">
        <f t="shared" si="456"/>
        <v>0</v>
      </c>
      <c r="F74" s="47">
        <f t="shared" si="456"/>
        <v>1252.893071</v>
      </c>
      <c r="G74" s="47">
        <f t="shared" si="456"/>
        <v>0</v>
      </c>
      <c r="H74" s="125"/>
      <c r="I74" s="66">
        <f t="shared" si="411"/>
        <v>0</v>
      </c>
      <c r="J74" s="67">
        <f t="shared" si="412"/>
        <v>0</v>
      </c>
      <c r="K74" s="66">
        <f t="shared" si="413"/>
        <v>-1252.893071</v>
      </c>
      <c r="L74" s="67">
        <f t="shared" si="414"/>
        <v>-1</v>
      </c>
      <c r="M74" s="66">
        <f t="shared" si="415"/>
        <v>0</v>
      </c>
      <c r="N74" s="67">
        <f t="shared" si="416"/>
        <v>0</v>
      </c>
      <c r="O74" s="125"/>
      <c r="P74" s="47">
        <f t="shared" ref="P74:R74" si="457">IFERROR((P111-P110)/P42,0)</f>
        <v>0</v>
      </c>
      <c r="Q74" s="47">
        <f t="shared" si="457"/>
        <v>1145.35216</v>
      </c>
      <c r="R74" s="47">
        <f t="shared" si="457"/>
        <v>0</v>
      </c>
      <c r="S74" s="125"/>
      <c r="T74" s="66">
        <f t="shared" si="418"/>
        <v>-1145.35216</v>
      </c>
      <c r="U74" s="67">
        <f t="shared" si="419"/>
        <v>-1</v>
      </c>
      <c r="V74" s="66">
        <f t="shared" si="420"/>
        <v>0</v>
      </c>
      <c r="W74" s="67">
        <f t="shared" si="421"/>
        <v>0</v>
      </c>
      <c r="X74" s="125"/>
      <c r="Y74" s="47">
        <f t="shared" ref="Y74:AB74" si="458">IFERROR((Y111-Y110)/Y42,0)</f>
        <v>1557.454088</v>
      </c>
      <c r="Z74" s="47">
        <f t="shared" si="458"/>
        <v>1591.869133</v>
      </c>
      <c r="AA74" s="47">
        <f t="shared" si="458"/>
        <v>1412.005552</v>
      </c>
      <c r="AB74" s="47">
        <f t="shared" si="458"/>
        <v>0</v>
      </c>
      <c r="AC74" s="125"/>
      <c r="AD74" s="66">
        <f t="shared" si="423"/>
        <v>145.4485359</v>
      </c>
      <c r="AE74" s="67">
        <f t="shared" si="424"/>
        <v>0.1030084731</v>
      </c>
      <c r="AF74" s="66">
        <f t="shared" si="425"/>
        <v>1557.454088</v>
      </c>
      <c r="AG74" s="67">
        <f t="shared" si="426"/>
        <v>0</v>
      </c>
      <c r="AH74" s="124"/>
      <c r="AI74" s="47">
        <f t="shared" ref="AI74:AU74" si="459">IFERROR((AI111-AI110)/AI42,0)</f>
        <v>0</v>
      </c>
      <c r="AJ74" s="47">
        <f t="shared" si="459"/>
        <v>0</v>
      </c>
      <c r="AK74" s="47">
        <f t="shared" si="459"/>
        <v>0</v>
      </c>
      <c r="AL74" s="47">
        <f t="shared" si="459"/>
        <v>0</v>
      </c>
      <c r="AM74" s="47">
        <f t="shared" si="459"/>
        <v>0</v>
      </c>
      <c r="AN74" s="47">
        <f t="shared" si="459"/>
        <v>0</v>
      </c>
      <c r="AO74" s="47">
        <f t="shared" si="459"/>
        <v>0</v>
      </c>
      <c r="AP74" s="47">
        <f t="shared" si="459"/>
        <v>0</v>
      </c>
      <c r="AQ74" s="47">
        <f t="shared" si="459"/>
        <v>0</v>
      </c>
      <c r="AR74" s="47">
        <f t="shared" si="459"/>
        <v>1655.730778</v>
      </c>
      <c r="AS74" s="47">
        <f t="shared" si="459"/>
        <v>1411.676934</v>
      </c>
      <c r="AT74" s="47">
        <f t="shared" si="459"/>
        <v>1525.336489</v>
      </c>
      <c r="AU74" s="65">
        <f t="shared" si="459"/>
        <v>1557.454088</v>
      </c>
      <c r="AV74" s="127"/>
      <c r="AW74" s="47">
        <f t="shared" ref="AW74:BI74" si="460">IFERROR((AW111-AW110)/AW42,0)</f>
        <v>0</v>
      </c>
      <c r="AX74" s="47">
        <f t="shared" si="460"/>
        <v>0</v>
      </c>
      <c r="AY74" s="47">
        <f t="shared" si="460"/>
        <v>0</v>
      </c>
      <c r="AZ74" s="47">
        <f t="shared" si="460"/>
        <v>0</v>
      </c>
      <c r="BA74" s="47">
        <f t="shared" si="460"/>
        <v>0</v>
      </c>
      <c r="BB74" s="47">
        <f t="shared" si="460"/>
        <v>0</v>
      </c>
      <c r="BC74" s="47">
        <f t="shared" si="460"/>
        <v>1596.547561</v>
      </c>
      <c r="BD74" s="47">
        <f t="shared" si="460"/>
        <v>1661.737985</v>
      </c>
      <c r="BE74" s="47">
        <f t="shared" si="460"/>
        <v>1580.654592</v>
      </c>
      <c r="BF74" s="47">
        <f t="shared" si="460"/>
        <v>1655.730778</v>
      </c>
      <c r="BG74" s="47">
        <f t="shared" si="460"/>
        <v>1411.676934</v>
      </c>
      <c r="BH74" s="47">
        <f t="shared" si="460"/>
        <v>1525.336489</v>
      </c>
      <c r="BI74" s="65">
        <f t="shared" si="460"/>
        <v>1591.869133</v>
      </c>
      <c r="BJ74" s="124"/>
      <c r="BK74" s="128">
        <v>1368.7052</v>
      </c>
      <c r="BL74" s="128">
        <v>1237.9309</v>
      </c>
      <c r="BM74" s="128">
        <v>1176.9277</v>
      </c>
      <c r="BN74" s="128">
        <v>864.5231</v>
      </c>
      <c r="BO74" s="128">
        <v>885.7748</v>
      </c>
      <c r="BP74" s="128">
        <v>1252.8931</v>
      </c>
      <c r="BQ74" s="128">
        <v>1596.5476</v>
      </c>
      <c r="BR74" s="128">
        <v>1661.738</v>
      </c>
      <c r="BS74" s="128">
        <v>1580.6546</v>
      </c>
      <c r="BT74" s="128">
        <v>1655.7308</v>
      </c>
      <c r="BU74" s="128">
        <v>1411.6769</v>
      </c>
      <c r="BV74" s="128">
        <v>1525.3365</v>
      </c>
      <c r="BW74" s="129">
        <v>1412.0056</v>
      </c>
      <c r="BX74" s="15"/>
      <c r="BY74" s="47"/>
      <c r="BZ74" s="47"/>
      <c r="CA74" s="47"/>
      <c r="CB74" s="47"/>
      <c r="CC74" s="47"/>
      <c r="CD74" s="47"/>
      <c r="CE74" s="47"/>
      <c r="CF74" s="47"/>
      <c r="CG74" s="47"/>
      <c r="CH74" s="47"/>
      <c r="CI74" s="47"/>
      <c r="CJ74" s="47"/>
      <c r="CK74" s="65"/>
      <c r="CL74" s="47"/>
      <c r="CM74" s="47"/>
      <c r="CN74" s="47"/>
      <c r="CO74" s="47"/>
      <c r="CP74" s="47"/>
      <c r="CQ74" s="47"/>
      <c r="CR74" s="47"/>
      <c r="CS74" s="47"/>
      <c r="CT74" s="47"/>
      <c r="CU74" s="47"/>
      <c r="CV74" s="47"/>
      <c r="CW74" s="47"/>
      <c r="CX74" s="47"/>
      <c r="CY74" s="65"/>
      <c r="CZ74" s="11"/>
      <c r="DA74" s="47">
        <f>IFERROR((DA111-DA110)/DA42,0)</f>
        <v>1368.705209</v>
      </c>
      <c r="DB74" s="47"/>
      <c r="DC74" s="47"/>
      <c r="DD74" s="47"/>
      <c r="DE74" s="47"/>
      <c r="DF74" s="47"/>
      <c r="DG74" s="47"/>
      <c r="DH74" s="47"/>
      <c r="DI74" s="47"/>
      <c r="DJ74" s="47"/>
      <c r="DK74" s="47"/>
      <c r="DL74" s="47"/>
      <c r="DM74" s="65">
        <f>IFERROR((DM111-DM110)/DM42,0)</f>
        <v>1368.705209</v>
      </c>
      <c r="DN74" s="1"/>
      <c r="DO74" s="132"/>
      <c r="DP74" s="132"/>
      <c r="DQ74" s="131"/>
    </row>
    <row r="75">
      <c r="A75" s="15"/>
      <c r="B75" s="124"/>
      <c r="C75" s="124"/>
      <c r="D75" s="125"/>
      <c r="E75" s="125"/>
      <c r="F75" s="125"/>
      <c r="G75" s="125"/>
      <c r="H75" s="125"/>
      <c r="I75" s="125"/>
      <c r="J75" s="125"/>
      <c r="K75" s="125"/>
      <c r="L75" s="125"/>
      <c r="M75" s="125"/>
      <c r="N75" s="125"/>
      <c r="O75" s="125"/>
      <c r="P75" s="125"/>
      <c r="Q75" s="125"/>
      <c r="R75" s="125"/>
      <c r="S75" s="125"/>
      <c r="T75" s="125"/>
      <c r="U75" s="125"/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6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12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126"/>
      <c r="BK75" s="47"/>
      <c r="BL75" s="47"/>
      <c r="BM75" s="47"/>
      <c r="BN75" s="47"/>
      <c r="BO75" s="47"/>
      <c r="BP75" s="47"/>
      <c r="BQ75" s="47"/>
      <c r="BR75" s="47"/>
      <c r="BS75" s="47"/>
      <c r="BT75" s="47"/>
      <c r="BU75" s="47"/>
      <c r="BV75" s="47"/>
      <c r="BW75" s="47"/>
      <c r="BX75" s="1"/>
      <c r="BY75" s="47"/>
      <c r="BZ75" s="47"/>
      <c r="CA75" s="47"/>
      <c r="CB75" s="47"/>
      <c r="CC75" s="47"/>
      <c r="CD75" s="47"/>
      <c r="CE75" s="47"/>
      <c r="CF75" s="47"/>
      <c r="CG75" s="47"/>
      <c r="CH75" s="47"/>
      <c r="CI75" s="47"/>
      <c r="CJ75" s="47"/>
      <c r="CK75" s="47"/>
      <c r="CL75" s="47"/>
      <c r="CM75" s="47"/>
      <c r="CN75" s="47"/>
      <c r="CO75" s="47"/>
      <c r="CP75" s="47"/>
      <c r="CQ75" s="47"/>
      <c r="CR75" s="47"/>
      <c r="CS75" s="47"/>
      <c r="CT75" s="47"/>
      <c r="CU75" s="47"/>
      <c r="CV75" s="47"/>
      <c r="CW75" s="47"/>
      <c r="CX75" s="47"/>
      <c r="CY75" s="47"/>
      <c r="CZ75" s="11"/>
      <c r="DA75" s="95"/>
      <c r="DB75" s="95"/>
      <c r="DC75" s="95"/>
      <c r="DD75" s="95"/>
      <c r="DE75" s="95"/>
      <c r="DF75" s="95"/>
      <c r="DG75" s="95"/>
      <c r="DH75" s="95"/>
      <c r="DI75" s="95"/>
      <c r="DJ75" s="95"/>
      <c r="DK75" s="95"/>
      <c r="DL75" s="95"/>
      <c r="DM75" s="95"/>
      <c r="DN75" s="1"/>
      <c r="DO75" s="150"/>
      <c r="DP75" s="150"/>
      <c r="DQ75" s="131"/>
    </row>
    <row r="76">
      <c r="A76" s="105">
        <v>2.0</v>
      </c>
      <c r="B76" s="118" t="s">
        <v>85</v>
      </c>
      <c r="C76" s="15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19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11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119"/>
      <c r="BK76" s="47"/>
      <c r="BL76" s="47"/>
      <c r="BM76" s="47"/>
      <c r="BN76" s="47"/>
      <c r="BO76" s="47"/>
      <c r="BP76" s="47"/>
      <c r="BQ76" s="47"/>
      <c r="BR76" s="47"/>
      <c r="BS76" s="47"/>
      <c r="BT76" s="47"/>
      <c r="BU76" s="47"/>
      <c r="BV76" s="47"/>
      <c r="BW76" s="47"/>
      <c r="BX76" s="1"/>
      <c r="BY76" s="47"/>
      <c r="BZ76" s="47"/>
      <c r="CA76" s="47"/>
      <c r="CB76" s="47"/>
      <c r="CC76" s="47"/>
      <c r="CD76" s="47"/>
      <c r="CE76" s="47"/>
      <c r="CF76" s="47"/>
      <c r="CG76" s="47"/>
      <c r="CH76" s="47"/>
      <c r="CI76" s="47"/>
      <c r="CJ76" s="47"/>
      <c r="CK76" s="47"/>
      <c r="CL76" s="47"/>
      <c r="CM76" s="47"/>
      <c r="CN76" s="47"/>
      <c r="CO76" s="47"/>
      <c r="CP76" s="47"/>
      <c r="CQ76" s="47"/>
      <c r="CR76" s="47"/>
      <c r="CS76" s="47"/>
      <c r="CT76" s="47"/>
      <c r="CU76" s="47"/>
      <c r="CV76" s="47"/>
      <c r="CW76" s="47"/>
      <c r="CX76" s="47"/>
      <c r="CY76" s="47"/>
      <c r="CZ76" s="11"/>
      <c r="DA76" s="95"/>
      <c r="DB76" s="95"/>
      <c r="DC76" s="95"/>
      <c r="DD76" s="95"/>
      <c r="DE76" s="95"/>
      <c r="DF76" s="95"/>
      <c r="DG76" s="95"/>
      <c r="DH76" s="95"/>
      <c r="DI76" s="95"/>
      <c r="DJ76" s="95"/>
      <c r="DK76" s="95"/>
      <c r="DL76" s="95"/>
      <c r="DM76" s="95"/>
      <c r="DN76" s="1"/>
      <c r="DO76" s="150"/>
      <c r="DP76" s="150"/>
      <c r="DQ76" s="131"/>
    </row>
    <row r="77">
      <c r="A77" s="151">
        <v>2.1</v>
      </c>
      <c r="B77" s="118" t="s">
        <v>86</v>
      </c>
      <c r="C77" s="15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19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11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119"/>
      <c r="BK77" s="47"/>
      <c r="BL77" s="47"/>
      <c r="BM77" s="47"/>
      <c r="BN77" s="47"/>
      <c r="BO77" s="47"/>
      <c r="BP77" s="47"/>
      <c r="BQ77" s="47"/>
      <c r="BR77" s="47"/>
      <c r="BS77" s="47"/>
      <c r="BT77" s="47"/>
      <c r="BU77" s="47"/>
      <c r="BV77" s="47"/>
      <c r="BW77" s="47"/>
      <c r="BX77" s="1"/>
      <c r="BY77" s="47"/>
      <c r="BZ77" s="47"/>
      <c r="CA77" s="47"/>
      <c r="CB77" s="47"/>
      <c r="CC77" s="47"/>
      <c r="CD77" s="47"/>
      <c r="CE77" s="47"/>
      <c r="CF77" s="47"/>
      <c r="CG77" s="47"/>
      <c r="CH77" s="47"/>
      <c r="CI77" s="47"/>
      <c r="CJ77" s="47"/>
      <c r="CK77" s="47"/>
      <c r="CL77" s="47"/>
      <c r="CM77" s="47"/>
      <c r="CN77" s="47"/>
      <c r="CO77" s="47"/>
      <c r="CP77" s="47"/>
      <c r="CQ77" s="47"/>
      <c r="CR77" s="47"/>
      <c r="CS77" s="47"/>
      <c r="CT77" s="47"/>
      <c r="CU77" s="47"/>
      <c r="CV77" s="47"/>
      <c r="CW77" s="47"/>
      <c r="CX77" s="47"/>
      <c r="CY77" s="47"/>
      <c r="CZ77" s="11"/>
      <c r="DA77" s="95"/>
      <c r="DB77" s="95"/>
      <c r="DC77" s="95"/>
      <c r="DD77" s="95"/>
      <c r="DE77" s="95"/>
      <c r="DF77" s="95"/>
      <c r="DG77" s="95"/>
      <c r="DH77" s="95"/>
      <c r="DI77" s="95"/>
      <c r="DJ77" s="95"/>
      <c r="DK77" s="95"/>
      <c r="DL77" s="95"/>
      <c r="DM77" s="95"/>
      <c r="DN77" s="1"/>
      <c r="DO77" s="150"/>
      <c r="DP77" s="150"/>
      <c r="DQ77" s="131"/>
    </row>
    <row r="78" outlineLevel="2">
      <c r="A78" s="15"/>
      <c r="B78" s="1" t="s">
        <v>87</v>
      </c>
      <c r="C78" s="15"/>
      <c r="D78" s="47">
        <f t="shared" ref="D78:D82" si="463">SUMIFS($CM78:$CX78,$CM$35:$CX$35,$D$2)</f>
        <v>0</v>
      </c>
      <c r="E78" s="47">
        <f t="shared" ref="E78:E82" si="464">SUMIFS($DA78:$DM78,$DA$35:$DM$35,$D$2)</f>
        <v>0</v>
      </c>
      <c r="F78" s="47">
        <f t="shared" ref="F78:F82" si="465">SUMIFS($BK78:$BV78,$BK$35:$BV$35,$D$2)</f>
        <v>290534.9387</v>
      </c>
      <c r="G78" s="47">
        <f t="shared" ref="G78:G82" si="466">SUMIFS($BY78:$CJ78,$BY$35:$CJ$35,$D$2)</f>
        <v>0</v>
      </c>
      <c r="H78" s="48"/>
      <c r="I78" s="66">
        <f t="shared" ref="I78:I87" si="467">D78-E78</f>
        <v>0</v>
      </c>
      <c r="J78" s="67">
        <f t="shared" ref="J78:J87" si="468">IFERROR(I78/(E78),0)</f>
        <v>0</v>
      </c>
      <c r="K78" s="66">
        <f t="shared" ref="K78:K87" si="469">D78-F78</f>
        <v>-290534.9387</v>
      </c>
      <c r="L78" s="67">
        <f t="shared" ref="L78:L87" si="470">IFERROR(K78/(F78),0)</f>
        <v>-1</v>
      </c>
      <c r="M78" s="66">
        <f t="shared" ref="M78:M87" si="471">D78-G78</f>
        <v>0</v>
      </c>
      <c r="N78" s="67">
        <f t="shared" ref="N78:N87" si="472">IFERROR(M78/G78,0)</f>
        <v>0</v>
      </c>
      <c r="O78" s="48"/>
      <c r="P78" s="47">
        <f t="shared" ref="P78:P82" si="473">SUMIFS($CM78:$CX78,$CM$35:$CX$35,$P$2)</f>
        <v>0</v>
      </c>
      <c r="Q78" s="47">
        <f t="shared" ref="Q78:Q82" si="474">SUMIFS($BK78:$BV78,$BK$35:$BV$35,$P$2)</f>
        <v>1392987.435</v>
      </c>
      <c r="R78" s="47">
        <f t="shared" ref="R78:R82" si="475">SUMIFS($BY78:$CJ78,$BY$35:$CJ$35,$P$2)</f>
        <v>0</v>
      </c>
      <c r="S78" s="48"/>
      <c r="T78" s="66">
        <f t="shared" ref="T78:T87" si="476">P78-Q78</f>
        <v>-1392987.435</v>
      </c>
      <c r="U78" s="67">
        <f t="shared" ref="U78:U87" si="477">IFERROR(T78/Q78,0)</f>
        <v>-1</v>
      </c>
      <c r="V78" s="66">
        <f t="shared" ref="V78:V87" si="478">P78-R78</f>
        <v>0</v>
      </c>
      <c r="W78" s="67">
        <f t="shared" ref="W78:W87" si="479">IFERROR(V78/R78,0)</f>
        <v>0</v>
      </c>
      <c r="X78" s="48"/>
      <c r="Y78" s="47">
        <f t="shared" ref="Y78:Y82" si="480">$AU78</f>
        <v>1169173.537</v>
      </c>
      <c r="Z78" s="47">
        <f t="shared" ref="Z78:Z82" si="481">$BI78</f>
        <v>2918420.218</v>
      </c>
      <c r="AA78" s="47">
        <f t="shared" ref="AA78:AA82" si="482">$BW78</f>
        <v>4311407.654</v>
      </c>
      <c r="AB78" s="95" t="str">
        <f t="shared" ref="AB78:AB82" si="483">$CK78</f>
        <v/>
      </c>
      <c r="AC78" s="17"/>
      <c r="AD78" s="66">
        <f t="shared" ref="AD78:AD87" si="484">Y78-AA78</f>
        <v>-3142234.116</v>
      </c>
      <c r="AE78" s="67">
        <f t="shared" ref="AE78:AE87" si="485">IFERROR(AD78/AA78,0)</f>
        <v>-0.7288186061</v>
      </c>
      <c r="AF78" s="66">
        <f t="shared" ref="AF78:AF87" si="486">Y78-AB78</f>
        <v>1169173.537</v>
      </c>
      <c r="AG78" s="67">
        <f t="shared" ref="AG78:AG87" si="487">IFERROR(AF78/AB78,0)</f>
        <v>0</v>
      </c>
      <c r="AH78" s="117"/>
      <c r="AI78" s="47" t="str">
        <f t="shared" ref="AI78:AI82" si="488">IFERROR(IF(AI$3="A",CM78,IF(AI$3="F",DA78)),0)</f>
        <v/>
      </c>
      <c r="AJ78" s="47" t="str">
        <f t="shared" ref="AJ78:AT78" si="461">IFERROR(IF(AJ$3="A",CN78,IF(AJ$3="F",DB78,IF(AJ$3="B",BL78,0))),"")</f>
        <v/>
      </c>
      <c r="AK78" s="47" t="str">
        <f t="shared" si="461"/>
        <v/>
      </c>
      <c r="AL78" s="47" t="str">
        <f t="shared" si="461"/>
        <v/>
      </c>
      <c r="AM78" s="47" t="str">
        <f t="shared" si="461"/>
        <v/>
      </c>
      <c r="AN78" s="47" t="str">
        <f t="shared" si="461"/>
        <v/>
      </c>
      <c r="AO78" s="47" t="str">
        <f t="shared" si="461"/>
        <v/>
      </c>
      <c r="AP78" s="47" t="str">
        <f t="shared" si="461"/>
        <v/>
      </c>
      <c r="AQ78" s="47" t="str">
        <f t="shared" si="461"/>
        <v/>
      </c>
      <c r="AR78" s="47">
        <f t="shared" si="461"/>
        <v>584483.5338</v>
      </c>
      <c r="AS78" s="47">
        <f t="shared" si="461"/>
        <v>267851.1264</v>
      </c>
      <c r="AT78" s="47">
        <f t="shared" si="461"/>
        <v>316838.8771</v>
      </c>
      <c r="AU78" s="65">
        <f t="shared" ref="AU78:AU82" si="490">SUM(AI78:AT78)</f>
        <v>1169173.537</v>
      </c>
      <c r="AV78" s="11"/>
      <c r="AW78" s="47" t="str">
        <f t="shared" ref="AW78:BH78" si="462">IFERROR(IF(AW$3="A",CM78,IF(AW$3="B",BK78)),0)</f>
        <v/>
      </c>
      <c r="AX78" s="47" t="str">
        <f t="shared" si="462"/>
        <v/>
      </c>
      <c r="AY78" s="47" t="str">
        <f t="shared" si="462"/>
        <v/>
      </c>
      <c r="AZ78" s="47" t="str">
        <f t="shared" si="462"/>
        <v/>
      </c>
      <c r="BA78" s="47" t="str">
        <f t="shared" si="462"/>
        <v/>
      </c>
      <c r="BB78" s="47" t="str">
        <f t="shared" si="462"/>
        <v/>
      </c>
      <c r="BC78" s="47">
        <f t="shared" si="462"/>
        <v>592766.7015</v>
      </c>
      <c r="BD78" s="47">
        <f t="shared" si="462"/>
        <v>643937.8497</v>
      </c>
      <c r="BE78" s="47">
        <f t="shared" si="462"/>
        <v>512542.1299</v>
      </c>
      <c r="BF78" s="47">
        <f t="shared" si="462"/>
        <v>584483.5338</v>
      </c>
      <c r="BG78" s="47">
        <f t="shared" si="462"/>
        <v>267851.1264</v>
      </c>
      <c r="BH78" s="47">
        <f t="shared" si="462"/>
        <v>316838.8771</v>
      </c>
      <c r="BI78" s="65">
        <f t="shared" ref="BI78:BI82" si="492">SUM(AW78:BH78)</f>
        <v>2918420.218</v>
      </c>
      <c r="BJ78" s="117"/>
      <c r="BK78" s="128">
        <v>303415.6005</v>
      </c>
      <c r="BL78" s="128">
        <v>284075.3042</v>
      </c>
      <c r="BM78" s="128">
        <v>195029.036</v>
      </c>
      <c r="BN78" s="128">
        <v>131151.7961</v>
      </c>
      <c r="BO78" s="128">
        <v>188780.7599</v>
      </c>
      <c r="BP78" s="128">
        <v>290534.9387</v>
      </c>
      <c r="BQ78" s="128">
        <v>592766.7015</v>
      </c>
      <c r="BR78" s="128">
        <v>643937.8497</v>
      </c>
      <c r="BS78" s="128">
        <v>512542.1299</v>
      </c>
      <c r="BT78" s="128">
        <v>584483.5338</v>
      </c>
      <c r="BU78" s="128">
        <v>267851.1264</v>
      </c>
      <c r="BV78" s="128">
        <v>316838.8771</v>
      </c>
      <c r="BW78" s="129">
        <v>4311407.6537</v>
      </c>
      <c r="BX78" s="1"/>
      <c r="BY78" s="47"/>
      <c r="BZ78" s="47"/>
      <c r="CA78" s="47"/>
      <c r="CB78" s="47"/>
      <c r="CC78" s="47"/>
      <c r="CD78" s="47"/>
      <c r="CE78" s="47"/>
      <c r="CF78" s="47"/>
      <c r="CG78" s="47"/>
      <c r="CH78" s="47"/>
      <c r="CI78" s="47"/>
      <c r="CJ78" s="47"/>
      <c r="CK78" s="65"/>
      <c r="CL78" s="47"/>
      <c r="CM78" s="47"/>
      <c r="CN78" s="47"/>
      <c r="CO78" s="47"/>
      <c r="CP78" s="47"/>
      <c r="CQ78" s="47"/>
      <c r="CR78" s="47"/>
      <c r="CS78" s="47"/>
      <c r="CT78" s="47"/>
      <c r="CU78" s="47"/>
      <c r="CV78" s="47"/>
      <c r="CW78" s="47"/>
      <c r="CX78" s="47"/>
      <c r="CY78" s="65"/>
      <c r="CZ78" s="11"/>
      <c r="DA78" s="47">
        <f t="shared" ref="DA78:DA82" si="493">BK78</f>
        <v>303415.6005</v>
      </c>
      <c r="DB78" s="47"/>
      <c r="DC78" s="47"/>
      <c r="DD78" s="47"/>
      <c r="DE78" s="47"/>
      <c r="DF78" s="47"/>
      <c r="DG78" s="47"/>
      <c r="DH78" s="47"/>
      <c r="DI78" s="47"/>
      <c r="DJ78" s="47"/>
      <c r="DK78" s="47"/>
      <c r="DL78" s="47"/>
      <c r="DM78" s="65">
        <f t="shared" ref="DM78:DM82" si="494">SUM(DA78:DL78)</f>
        <v>303415.6005</v>
      </c>
      <c r="DN78" s="1"/>
      <c r="DO78" s="130"/>
      <c r="DP78" s="130"/>
      <c r="DQ78" s="131"/>
    </row>
    <row r="79" outlineLevel="2">
      <c r="A79" s="15"/>
      <c r="B79" s="1" t="s">
        <v>88</v>
      </c>
      <c r="C79" s="15"/>
      <c r="D79" s="47">
        <f t="shared" si="463"/>
        <v>0</v>
      </c>
      <c r="E79" s="47">
        <f t="shared" si="464"/>
        <v>0</v>
      </c>
      <c r="F79" s="47">
        <f t="shared" si="465"/>
        <v>84391.445</v>
      </c>
      <c r="G79" s="47">
        <f t="shared" si="466"/>
        <v>0</v>
      </c>
      <c r="H79" s="48"/>
      <c r="I79" s="66">
        <f t="shared" si="467"/>
        <v>0</v>
      </c>
      <c r="J79" s="67">
        <f t="shared" si="468"/>
        <v>0</v>
      </c>
      <c r="K79" s="66">
        <f t="shared" si="469"/>
        <v>-84391.445</v>
      </c>
      <c r="L79" s="67">
        <f t="shared" si="470"/>
        <v>-1</v>
      </c>
      <c r="M79" s="66">
        <f t="shared" si="471"/>
        <v>0</v>
      </c>
      <c r="N79" s="67">
        <f t="shared" si="472"/>
        <v>0</v>
      </c>
      <c r="O79" s="48"/>
      <c r="P79" s="47">
        <f t="shared" si="473"/>
        <v>0</v>
      </c>
      <c r="Q79" s="47">
        <f t="shared" si="474"/>
        <v>331123.0619</v>
      </c>
      <c r="R79" s="47">
        <f t="shared" si="475"/>
        <v>0</v>
      </c>
      <c r="S79" s="48"/>
      <c r="T79" s="66">
        <f t="shared" si="476"/>
        <v>-331123.0619</v>
      </c>
      <c r="U79" s="67">
        <f t="shared" si="477"/>
        <v>-1</v>
      </c>
      <c r="V79" s="66">
        <f t="shared" si="478"/>
        <v>0</v>
      </c>
      <c r="W79" s="67">
        <f t="shared" si="479"/>
        <v>0</v>
      </c>
      <c r="X79" s="48"/>
      <c r="Y79" s="47">
        <f t="shared" si="480"/>
        <v>57241.86</v>
      </c>
      <c r="Z79" s="47">
        <f t="shared" si="481"/>
        <v>344129.5445</v>
      </c>
      <c r="AA79" s="47">
        <f t="shared" si="482"/>
        <v>675252.6063</v>
      </c>
      <c r="AB79" s="95" t="str">
        <f t="shared" si="483"/>
        <v/>
      </c>
      <c r="AC79" s="17"/>
      <c r="AD79" s="66">
        <f t="shared" si="484"/>
        <v>-618010.7463</v>
      </c>
      <c r="AE79" s="67">
        <f t="shared" si="485"/>
        <v>-0.9152289684</v>
      </c>
      <c r="AF79" s="66">
        <f t="shared" si="486"/>
        <v>57241.86</v>
      </c>
      <c r="AG79" s="67">
        <f t="shared" si="487"/>
        <v>0</v>
      </c>
      <c r="AH79" s="117"/>
      <c r="AI79" s="47" t="str">
        <f t="shared" si="488"/>
        <v/>
      </c>
      <c r="AJ79" s="47" t="str">
        <f t="shared" ref="AJ79:AT79" si="489">IFERROR(IF(AJ$3="A",CN79,IF(AJ$3="F",DB79,IF(AJ$3="B",BL79,0))),"")</f>
        <v/>
      </c>
      <c r="AK79" s="47" t="str">
        <f t="shared" si="489"/>
        <v/>
      </c>
      <c r="AL79" s="47" t="str">
        <f t="shared" si="489"/>
        <v/>
      </c>
      <c r="AM79" s="47" t="str">
        <f t="shared" si="489"/>
        <v/>
      </c>
      <c r="AN79" s="47" t="str">
        <f t="shared" si="489"/>
        <v/>
      </c>
      <c r="AO79" s="47" t="str">
        <f t="shared" si="489"/>
        <v/>
      </c>
      <c r="AP79" s="47" t="str">
        <f t="shared" si="489"/>
        <v/>
      </c>
      <c r="AQ79" s="47" t="str">
        <f t="shared" si="489"/>
        <v/>
      </c>
      <c r="AR79" s="47">
        <f t="shared" si="489"/>
        <v>43277.78</v>
      </c>
      <c r="AS79" s="47">
        <f t="shared" si="489"/>
        <v>13964.08</v>
      </c>
      <c r="AT79" s="47">
        <f t="shared" si="489"/>
        <v>0</v>
      </c>
      <c r="AU79" s="65">
        <f t="shared" si="490"/>
        <v>57241.86</v>
      </c>
      <c r="AV79" s="11"/>
      <c r="AW79" s="47" t="str">
        <f t="shared" ref="AW79:BH79" si="491">IFERROR(IF(AW$3="A",CM79,IF(AW$3="B",BK79)),0)</f>
        <v/>
      </c>
      <c r="AX79" s="47" t="str">
        <f t="shared" si="491"/>
        <v/>
      </c>
      <c r="AY79" s="47" t="str">
        <f t="shared" si="491"/>
        <v/>
      </c>
      <c r="AZ79" s="47" t="str">
        <f t="shared" si="491"/>
        <v/>
      </c>
      <c r="BA79" s="47" t="str">
        <f t="shared" si="491"/>
        <v/>
      </c>
      <c r="BB79" s="47" t="str">
        <f t="shared" si="491"/>
        <v/>
      </c>
      <c r="BC79" s="47">
        <f t="shared" si="491"/>
        <v>121663.6894</v>
      </c>
      <c r="BD79" s="47">
        <f t="shared" si="491"/>
        <v>58861.92</v>
      </c>
      <c r="BE79" s="47">
        <f t="shared" si="491"/>
        <v>106362.0751</v>
      </c>
      <c r="BF79" s="47">
        <f t="shared" si="491"/>
        <v>43277.78</v>
      </c>
      <c r="BG79" s="47">
        <f t="shared" si="491"/>
        <v>13964.08</v>
      </c>
      <c r="BH79" s="47">
        <f t="shared" si="491"/>
        <v>0</v>
      </c>
      <c r="BI79" s="65">
        <f t="shared" si="492"/>
        <v>344129.5445</v>
      </c>
      <c r="BJ79" s="117"/>
      <c r="BK79" s="128">
        <v>64681.131</v>
      </c>
      <c r="BL79" s="128">
        <v>75062.1817</v>
      </c>
      <c r="BM79" s="128">
        <v>29016.9451</v>
      </c>
      <c r="BN79" s="128">
        <v>47778.213</v>
      </c>
      <c r="BO79" s="128">
        <v>30193.1461</v>
      </c>
      <c r="BP79" s="128">
        <v>84391.445</v>
      </c>
      <c r="BQ79" s="128">
        <v>121663.6894</v>
      </c>
      <c r="BR79" s="128">
        <v>58861.92</v>
      </c>
      <c r="BS79" s="128">
        <v>106362.0751</v>
      </c>
      <c r="BT79" s="128">
        <v>43277.78</v>
      </c>
      <c r="BU79" s="128">
        <v>13964.08</v>
      </c>
      <c r="BV79" s="128">
        <v>0.0</v>
      </c>
      <c r="BW79" s="129">
        <v>675252.6063</v>
      </c>
      <c r="BX79" s="1"/>
      <c r="BY79" s="47"/>
      <c r="BZ79" s="47"/>
      <c r="CA79" s="47"/>
      <c r="CB79" s="47"/>
      <c r="CC79" s="47"/>
      <c r="CD79" s="47"/>
      <c r="CE79" s="47"/>
      <c r="CF79" s="47"/>
      <c r="CG79" s="47"/>
      <c r="CH79" s="47"/>
      <c r="CI79" s="47"/>
      <c r="CJ79" s="47"/>
      <c r="CK79" s="65"/>
      <c r="CL79" s="47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65"/>
      <c r="CZ79" s="11"/>
      <c r="DA79" s="47">
        <f t="shared" si="493"/>
        <v>64681.131</v>
      </c>
      <c r="DB79" s="47"/>
      <c r="DC79" s="47"/>
      <c r="DD79" s="47"/>
      <c r="DE79" s="47"/>
      <c r="DF79" s="47"/>
      <c r="DG79" s="47"/>
      <c r="DH79" s="47"/>
      <c r="DI79" s="47"/>
      <c r="DJ79" s="47"/>
      <c r="DK79" s="47"/>
      <c r="DL79" s="47"/>
      <c r="DM79" s="65">
        <f t="shared" si="494"/>
        <v>64681.131</v>
      </c>
      <c r="DN79" s="1"/>
      <c r="DO79" s="130"/>
      <c r="DP79" s="130"/>
      <c r="DQ79" s="131"/>
    </row>
    <row r="80" outlineLevel="2">
      <c r="A80" s="15"/>
      <c r="B80" s="1" t="s">
        <v>89</v>
      </c>
      <c r="C80" s="15"/>
      <c r="D80" s="47">
        <f t="shared" si="463"/>
        <v>0</v>
      </c>
      <c r="E80" s="47">
        <f t="shared" si="464"/>
        <v>0</v>
      </c>
      <c r="F80" s="47">
        <f t="shared" si="465"/>
        <v>0</v>
      </c>
      <c r="G80" s="47">
        <f t="shared" si="466"/>
        <v>0</v>
      </c>
      <c r="H80" s="48"/>
      <c r="I80" s="66">
        <f t="shared" si="467"/>
        <v>0</v>
      </c>
      <c r="J80" s="67">
        <f t="shared" si="468"/>
        <v>0</v>
      </c>
      <c r="K80" s="66">
        <f t="shared" si="469"/>
        <v>0</v>
      </c>
      <c r="L80" s="67">
        <f t="shared" si="470"/>
        <v>0</v>
      </c>
      <c r="M80" s="66">
        <f t="shared" si="471"/>
        <v>0</v>
      </c>
      <c r="N80" s="67">
        <f t="shared" si="472"/>
        <v>0</v>
      </c>
      <c r="O80" s="48"/>
      <c r="P80" s="47">
        <f t="shared" si="473"/>
        <v>0</v>
      </c>
      <c r="Q80" s="47">
        <f t="shared" si="474"/>
        <v>0</v>
      </c>
      <c r="R80" s="47">
        <f t="shared" si="475"/>
        <v>0</v>
      </c>
      <c r="S80" s="48"/>
      <c r="T80" s="66">
        <f t="shared" si="476"/>
        <v>0</v>
      </c>
      <c r="U80" s="67">
        <f t="shared" si="477"/>
        <v>0</v>
      </c>
      <c r="V80" s="66">
        <f t="shared" si="478"/>
        <v>0</v>
      </c>
      <c r="W80" s="67">
        <f t="shared" si="479"/>
        <v>0</v>
      </c>
      <c r="X80" s="48"/>
      <c r="Y80" s="47">
        <f t="shared" si="480"/>
        <v>0</v>
      </c>
      <c r="Z80" s="47">
        <f t="shared" si="481"/>
        <v>0</v>
      </c>
      <c r="AA80" s="47">
        <f t="shared" si="482"/>
        <v>0</v>
      </c>
      <c r="AB80" s="95" t="str">
        <f t="shared" si="483"/>
        <v/>
      </c>
      <c r="AC80" s="17"/>
      <c r="AD80" s="66">
        <f t="shared" si="484"/>
        <v>0</v>
      </c>
      <c r="AE80" s="67">
        <f t="shared" si="485"/>
        <v>0</v>
      </c>
      <c r="AF80" s="66">
        <f t="shared" si="486"/>
        <v>0</v>
      </c>
      <c r="AG80" s="67">
        <f t="shared" si="487"/>
        <v>0</v>
      </c>
      <c r="AH80" s="117"/>
      <c r="AI80" s="47" t="str">
        <f t="shared" si="488"/>
        <v/>
      </c>
      <c r="AJ80" s="47" t="str">
        <f t="shared" ref="AJ80:AT80" si="495">IFERROR(IF(AJ$3="A",CN80,IF(AJ$3="F",DB80,IF(AJ$3="B",BL80,0))),"")</f>
        <v/>
      </c>
      <c r="AK80" s="47" t="str">
        <f t="shared" si="495"/>
        <v/>
      </c>
      <c r="AL80" s="47" t="str">
        <f t="shared" si="495"/>
        <v/>
      </c>
      <c r="AM80" s="47" t="str">
        <f t="shared" si="495"/>
        <v/>
      </c>
      <c r="AN80" s="47" t="str">
        <f t="shared" si="495"/>
        <v/>
      </c>
      <c r="AO80" s="47" t="str">
        <f t="shared" si="495"/>
        <v/>
      </c>
      <c r="AP80" s="47" t="str">
        <f t="shared" si="495"/>
        <v/>
      </c>
      <c r="AQ80" s="47" t="str">
        <f t="shared" si="495"/>
        <v/>
      </c>
      <c r="AR80" s="47">
        <f t="shared" si="495"/>
        <v>0</v>
      </c>
      <c r="AS80" s="47">
        <f t="shared" si="495"/>
        <v>0</v>
      </c>
      <c r="AT80" s="47">
        <f t="shared" si="495"/>
        <v>0</v>
      </c>
      <c r="AU80" s="65">
        <f t="shared" si="490"/>
        <v>0</v>
      </c>
      <c r="AV80" s="11"/>
      <c r="AW80" s="47" t="str">
        <f t="shared" ref="AW80:BH80" si="496">IFERROR(IF(AW$3="A",CM80,IF(AW$3="B",BK80)),0)</f>
        <v/>
      </c>
      <c r="AX80" s="47" t="str">
        <f t="shared" si="496"/>
        <v/>
      </c>
      <c r="AY80" s="47" t="str">
        <f t="shared" si="496"/>
        <v/>
      </c>
      <c r="AZ80" s="47" t="str">
        <f t="shared" si="496"/>
        <v/>
      </c>
      <c r="BA80" s="47" t="str">
        <f t="shared" si="496"/>
        <v/>
      </c>
      <c r="BB80" s="47" t="str">
        <f t="shared" si="496"/>
        <v/>
      </c>
      <c r="BC80" s="47">
        <f t="shared" si="496"/>
        <v>0</v>
      </c>
      <c r="BD80" s="47">
        <f t="shared" si="496"/>
        <v>0</v>
      </c>
      <c r="BE80" s="47">
        <f t="shared" si="496"/>
        <v>0</v>
      </c>
      <c r="BF80" s="47">
        <f t="shared" si="496"/>
        <v>0</v>
      </c>
      <c r="BG80" s="47">
        <f t="shared" si="496"/>
        <v>0</v>
      </c>
      <c r="BH80" s="47">
        <f t="shared" si="496"/>
        <v>0</v>
      </c>
      <c r="BI80" s="65">
        <f t="shared" si="492"/>
        <v>0</v>
      </c>
      <c r="BJ80" s="117"/>
      <c r="BK80" s="128">
        <v>0.0</v>
      </c>
      <c r="BL80" s="128">
        <v>0.0</v>
      </c>
      <c r="BM80" s="128">
        <v>0.0</v>
      </c>
      <c r="BN80" s="128">
        <v>0.0</v>
      </c>
      <c r="BO80" s="128">
        <v>0.0</v>
      </c>
      <c r="BP80" s="128">
        <v>0.0</v>
      </c>
      <c r="BQ80" s="128">
        <v>0.0</v>
      </c>
      <c r="BR80" s="128">
        <v>0.0</v>
      </c>
      <c r="BS80" s="128">
        <v>0.0</v>
      </c>
      <c r="BT80" s="128">
        <v>0.0</v>
      </c>
      <c r="BU80" s="128">
        <v>0.0</v>
      </c>
      <c r="BV80" s="128">
        <v>0.0</v>
      </c>
      <c r="BW80" s="129">
        <v>0.0</v>
      </c>
      <c r="BX80" s="1"/>
      <c r="BY80" s="47"/>
      <c r="BZ80" s="47"/>
      <c r="CA80" s="47"/>
      <c r="CB80" s="47"/>
      <c r="CC80" s="47"/>
      <c r="CD80" s="47"/>
      <c r="CE80" s="47"/>
      <c r="CF80" s="47"/>
      <c r="CG80" s="47"/>
      <c r="CH80" s="47"/>
      <c r="CI80" s="47"/>
      <c r="CJ80" s="47"/>
      <c r="CK80" s="65"/>
      <c r="CL80" s="47"/>
      <c r="CM80" s="47"/>
      <c r="CN80" s="47"/>
      <c r="CO80" s="47"/>
      <c r="CP80" s="47"/>
      <c r="CQ80" s="47"/>
      <c r="CR80" s="47"/>
      <c r="CS80" s="47"/>
      <c r="CT80" s="47"/>
      <c r="CU80" s="47"/>
      <c r="CV80" s="47"/>
      <c r="CW80" s="47"/>
      <c r="CX80" s="47"/>
      <c r="CY80" s="65"/>
      <c r="CZ80" s="11"/>
      <c r="DA80" s="47">
        <f t="shared" si="493"/>
        <v>0</v>
      </c>
      <c r="DB80" s="47"/>
      <c r="DC80" s="47"/>
      <c r="DD80" s="47"/>
      <c r="DE80" s="47"/>
      <c r="DF80" s="47"/>
      <c r="DG80" s="47"/>
      <c r="DH80" s="47"/>
      <c r="DI80" s="47"/>
      <c r="DJ80" s="47"/>
      <c r="DK80" s="47"/>
      <c r="DL80" s="47"/>
      <c r="DM80" s="65">
        <f t="shared" si="494"/>
        <v>0</v>
      </c>
      <c r="DN80" s="1"/>
      <c r="DO80" s="130"/>
      <c r="DP80" s="130"/>
      <c r="DQ80" s="131"/>
    </row>
    <row r="81" outlineLevel="2">
      <c r="A81" s="15"/>
      <c r="B81" s="155" t="s">
        <v>90</v>
      </c>
      <c r="C81" s="15"/>
      <c r="D81" s="47">
        <f t="shared" si="463"/>
        <v>0</v>
      </c>
      <c r="E81" s="47">
        <f t="shared" si="464"/>
        <v>0</v>
      </c>
      <c r="F81" s="47">
        <f t="shared" si="465"/>
        <v>0</v>
      </c>
      <c r="G81" s="47">
        <f t="shared" si="466"/>
        <v>0</v>
      </c>
      <c r="H81" s="48"/>
      <c r="I81" s="66">
        <f t="shared" si="467"/>
        <v>0</v>
      </c>
      <c r="J81" s="67">
        <f t="shared" si="468"/>
        <v>0</v>
      </c>
      <c r="K81" s="66">
        <f t="shared" si="469"/>
        <v>0</v>
      </c>
      <c r="L81" s="67">
        <f t="shared" si="470"/>
        <v>0</v>
      </c>
      <c r="M81" s="66">
        <f t="shared" si="471"/>
        <v>0</v>
      </c>
      <c r="N81" s="67">
        <f t="shared" si="472"/>
        <v>0</v>
      </c>
      <c r="O81" s="48"/>
      <c r="P81" s="47">
        <f t="shared" si="473"/>
        <v>0</v>
      </c>
      <c r="Q81" s="47">
        <f t="shared" si="474"/>
        <v>0</v>
      </c>
      <c r="R81" s="47">
        <f t="shared" si="475"/>
        <v>0</v>
      </c>
      <c r="S81" s="48"/>
      <c r="T81" s="66">
        <f t="shared" si="476"/>
        <v>0</v>
      </c>
      <c r="U81" s="67">
        <f t="shared" si="477"/>
        <v>0</v>
      </c>
      <c r="V81" s="66">
        <f t="shared" si="478"/>
        <v>0</v>
      </c>
      <c r="W81" s="67">
        <f t="shared" si="479"/>
        <v>0</v>
      </c>
      <c r="X81" s="48"/>
      <c r="Y81" s="47">
        <f t="shared" si="480"/>
        <v>0</v>
      </c>
      <c r="Z81" s="47">
        <f t="shared" si="481"/>
        <v>0</v>
      </c>
      <c r="AA81" s="47">
        <f t="shared" si="482"/>
        <v>0</v>
      </c>
      <c r="AB81" s="95" t="str">
        <f t="shared" si="483"/>
        <v/>
      </c>
      <c r="AC81" s="17"/>
      <c r="AD81" s="66">
        <f t="shared" si="484"/>
        <v>0</v>
      </c>
      <c r="AE81" s="67">
        <f t="shared" si="485"/>
        <v>0</v>
      </c>
      <c r="AF81" s="66">
        <f t="shared" si="486"/>
        <v>0</v>
      </c>
      <c r="AG81" s="67">
        <f t="shared" si="487"/>
        <v>0</v>
      </c>
      <c r="AH81" s="117"/>
      <c r="AI81" s="47" t="str">
        <f t="shared" si="488"/>
        <v/>
      </c>
      <c r="AJ81" s="47" t="str">
        <f t="shared" ref="AJ81:AT81" si="497">IFERROR(IF(AJ$3="A",CN81,IF(AJ$3="F",DB81,IF(AJ$3="B",BL81,0))),"")</f>
        <v/>
      </c>
      <c r="AK81" s="47" t="str">
        <f t="shared" si="497"/>
        <v/>
      </c>
      <c r="AL81" s="47" t="str">
        <f t="shared" si="497"/>
        <v/>
      </c>
      <c r="AM81" s="47" t="str">
        <f t="shared" si="497"/>
        <v/>
      </c>
      <c r="AN81" s="47" t="str">
        <f t="shared" si="497"/>
        <v/>
      </c>
      <c r="AO81" s="47" t="str">
        <f t="shared" si="497"/>
        <v/>
      </c>
      <c r="AP81" s="47" t="str">
        <f t="shared" si="497"/>
        <v/>
      </c>
      <c r="AQ81" s="47" t="str">
        <f t="shared" si="497"/>
        <v/>
      </c>
      <c r="AR81" s="47">
        <f t="shared" si="497"/>
        <v>0</v>
      </c>
      <c r="AS81" s="47">
        <f t="shared" si="497"/>
        <v>0</v>
      </c>
      <c r="AT81" s="47">
        <f t="shared" si="497"/>
        <v>0</v>
      </c>
      <c r="AU81" s="65">
        <f t="shared" si="490"/>
        <v>0</v>
      </c>
      <c r="AV81" s="11"/>
      <c r="AW81" s="47" t="str">
        <f t="shared" ref="AW81:BH81" si="498">IFERROR(IF(AW$3="A",CM81,IF(AW$3="B",BK81)),0)</f>
        <v/>
      </c>
      <c r="AX81" s="47" t="str">
        <f t="shared" si="498"/>
        <v/>
      </c>
      <c r="AY81" s="47" t="str">
        <f t="shared" si="498"/>
        <v/>
      </c>
      <c r="AZ81" s="47" t="str">
        <f t="shared" si="498"/>
        <v/>
      </c>
      <c r="BA81" s="47" t="str">
        <f t="shared" si="498"/>
        <v/>
      </c>
      <c r="BB81" s="47" t="str">
        <f t="shared" si="498"/>
        <v/>
      </c>
      <c r="BC81" s="47">
        <f t="shared" si="498"/>
        <v>0</v>
      </c>
      <c r="BD81" s="47">
        <f t="shared" si="498"/>
        <v>0</v>
      </c>
      <c r="BE81" s="47">
        <f t="shared" si="498"/>
        <v>0</v>
      </c>
      <c r="BF81" s="47">
        <f t="shared" si="498"/>
        <v>0</v>
      </c>
      <c r="BG81" s="47">
        <f t="shared" si="498"/>
        <v>0</v>
      </c>
      <c r="BH81" s="47">
        <f t="shared" si="498"/>
        <v>0</v>
      </c>
      <c r="BI81" s="65">
        <f t="shared" si="492"/>
        <v>0</v>
      </c>
      <c r="BJ81" s="117"/>
      <c r="BK81" s="128">
        <v>0.0</v>
      </c>
      <c r="BL81" s="128">
        <v>0.0</v>
      </c>
      <c r="BM81" s="128">
        <v>0.0</v>
      </c>
      <c r="BN81" s="128">
        <v>0.0</v>
      </c>
      <c r="BO81" s="128">
        <v>0.0</v>
      </c>
      <c r="BP81" s="128">
        <v>0.0</v>
      </c>
      <c r="BQ81" s="128">
        <v>0.0</v>
      </c>
      <c r="BR81" s="128">
        <v>0.0</v>
      </c>
      <c r="BS81" s="128">
        <v>0.0</v>
      </c>
      <c r="BT81" s="128">
        <v>0.0</v>
      </c>
      <c r="BU81" s="128">
        <v>0.0</v>
      </c>
      <c r="BV81" s="128">
        <v>0.0</v>
      </c>
      <c r="BW81" s="129">
        <v>0.0</v>
      </c>
      <c r="BX81" s="1"/>
      <c r="BY81" s="47"/>
      <c r="BZ81" s="47"/>
      <c r="CA81" s="47"/>
      <c r="CB81" s="47"/>
      <c r="CC81" s="47"/>
      <c r="CD81" s="47"/>
      <c r="CE81" s="47"/>
      <c r="CF81" s="47"/>
      <c r="CG81" s="47"/>
      <c r="CH81" s="47"/>
      <c r="CI81" s="47"/>
      <c r="CJ81" s="47"/>
      <c r="CK81" s="65"/>
      <c r="CL81" s="47"/>
      <c r="CM81" s="47"/>
      <c r="CN81" s="47"/>
      <c r="CO81" s="47"/>
      <c r="CP81" s="47"/>
      <c r="CQ81" s="47"/>
      <c r="CR81" s="47"/>
      <c r="CS81" s="47"/>
      <c r="CT81" s="47"/>
      <c r="CU81" s="47"/>
      <c r="CV81" s="47"/>
      <c r="CW81" s="47"/>
      <c r="CX81" s="47"/>
      <c r="CY81" s="65"/>
      <c r="CZ81" s="11"/>
      <c r="DA81" s="47">
        <f t="shared" si="493"/>
        <v>0</v>
      </c>
      <c r="DB81" s="47"/>
      <c r="DC81" s="47"/>
      <c r="DD81" s="47"/>
      <c r="DE81" s="47"/>
      <c r="DF81" s="47"/>
      <c r="DG81" s="47"/>
      <c r="DH81" s="47"/>
      <c r="DI81" s="47"/>
      <c r="DJ81" s="47"/>
      <c r="DK81" s="47"/>
      <c r="DL81" s="47"/>
      <c r="DM81" s="65">
        <f t="shared" si="494"/>
        <v>0</v>
      </c>
      <c r="DN81" s="1"/>
      <c r="DO81" s="132"/>
      <c r="DP81" s="132"/>
      <c r="DQ81" s="131"/>
    </row>
    <row r="82" outlineLevel="2">
      <c r="A82" s="15"/>
      <c r="B82" s="155" t="s">
        <v>91</v>
      </c>
      <c r="C82" s="15"/>
      <c r="D82" s="47">
        <f t="shared" si="463"/>
        <v>0</v>
      </c>
      <c r="E82" s="47">
        <f t="shared" si="464"/>
        <v>0</v>
      </c>
      <c r="F82" s="47">
        <f t="shared" si="465"/>
        <v>0</v>
      </c>
      <c r="G82" s="47">
        <f t="shared" si="466"/>
        <v>0</v>
      </c>
      <c r="H82" s="48"/>
      <c r="I82" s="66">
        <f t="shared" si="467"/>
        <v>0</v>
      </c>
      <c r="J82" s="67">
        <f t="shared" si="468"/>
        <v>0</v>
      </c>
      <c r="K82" s="66">
        <f t="shared" si="469"/>
        <v>0</v>
      </c>
      <c r="L82" s="67">
        <f t="shared" si="470"/>
        <v>0</v>
      </c>
      <c r="M82" s="66">
        <f t="shared" si="471"/>
        <v>0</v>
      </c>
      <c r="N82" s="67">
        <f t="shared" si="472"/>
        <v>0</v>
      </c>
      <c r="O82" s="48"/>
      <c r="P82" s="47">
        <f t="shared" si="473"/>
        <v>0</v>
      </c>
      <c r="Q82" s="47">
        <f t="shared" si="474"/>
        <v>0</v>
      </c>
      <c r="R82" s="47">
        <f t="shared" si="475"/>
        <v>0</v>
      </c>
      <c r="S82" s="48"/>
      <c r="T82" s="66">
        <f t="shared" si="476"/>
        <v>0</v>
      </c>
      <c r="U82" s="67">
        <f t="shared" si="477"/>
        <v>0</v>
      </c>
      <c r="V82" s="66">
        <f t="shared" si="478"/>
        <v>0</v>
      </c>
      <c r="W82" s="67">
        <f t="shared" si="479"/>
        <v>0</v>
      </c>
      <c r="X82" s="48"/>
      <c r="Y82" s="47">
        <f t="shared" si="480"/>
        <v>0</v>
      </c>
      <c r="Z82" s="47">
        <f t="shared" si="481"/>
        <v>0</v>
      </c>
      <c r="AA82" s="47">
        <f t="shared" si="482"/>
        <v>0</v>
      </c>
      <c r="AB82" s="95" t="str">
        <f t="shared" si="483"/>
        <v/>
      </c>
      <c r="AC82" s="17"/>
      <c r="AD82" s="66">
        <f t="shared" si="484"/>
        <v>0</v>
      </c>
      <c r="AE82" s="67">
        <f t="shared" si="485"/>
        <v>0</v>
      </c>
      <c r="AF82" s="66">
        <f t="shared" si="486"/>
        <v>0</v>
      </c>
      <c r="AG82" s="67">
        <f t="shared" si="487"/>
        <v>0</v>
      </c>
      <c r="AH82" s="117"/>
      <c r="AI82" s="47" t="str">
        <f t="shared" si="488"/>
        <v/>
      </c>
      <c r="AJ82" s="47" t="str">
        <f t="shared" ref="AJ82:AT82" si="499">IFERROR(IF(AJ$3="A",CN82,IF(AJ$3="F",DB82,IF(AJ$3="B",BL82,0))),"")</f>
        <v/>
      </c>
      <c r="AK82" s="47" t="str">
        <f t="shared" si="499"/>
        <v/>
      </c>
      <c r="AL82" s="47" t="str">
        <f t="shared" si="499"/>
        <v/>
      </c>
      <c r="AM82" s="47" t="str">
        <f t="shared" si="499"/>
        <v/>
      </c>
      <c r="AN82" s="47" t="str">
        <f t="shared" si="499"/>
        <v/>
      </c>
      <c r="AO82" s="47" t="str">
        <f t="shared" si="499"/>
        <v/>
      </c>
      <c r="AP82" s="47" t="str">
        <f t="shared" si="499"/>
        <v/>
      </c>
      <c r="AQ82" s="47" t="str">
        <f t="shared" si="499"/>
        <v/>
      </c>
      <c r="AR82" s="47">
        <f t="shared" si="499"/>
        <v>0</v>
      </c>
      <c r="AS82" s="47">
        <f t="shared" si="499"/>
        <v>0</v>
      </c>
      <c r="AT82" s="47">
        <f t="shared" si="499"/>
        <v>0</v>
      </c>
      <c r="AU82" s="65">
        <f t="shared" si="490"/>
        <v>0</v>
      </c>
      <c r="AV82" s="11"/>
      <c r="AW82" s="47" t="str">
        <f t="shared" ref="AW82:BH82" si="500">IFERROR(IF(AW$3="A",CM82,IF(AW$3="B",BK82)),0)</f>
        <v/>
      </c>
      <c r="AX82" s="47" t="str">
        <f t="shared" si="500"/>
        <v/>
      </c>
      <c r="AY82" s="47" t="str">
        <f t="shared" si="500"/>
        <v/>
      </c>
      <c r="AZ82" s="47" t="str">
        <f t="shared" si="500"/>
        <v/>
      </c>
      <c r="BA82" s="47" t="str">
        <f t="shared" si="500"/>
        <v/>
      </c>
      <c r="BB82" s="47" t="str">
        <f t="shared" si="500"/>
        <v/>
      </c>
      <c r="BC82" s="47">
        <f t="shared" si="500"/>
        <v>0</v>
      </c>
      <c r="BD82" s="47">
        <f t="shared" si="500"/>
        <v>0</v>
      </c>
      <c r="BE82" s="47">
        <f t="shared" si="500"/>
        <v>0</v>
      </c>
      <c r="BF82" s="47">
        <f t="shared" si="500"/>
        <v>0</v>
      </c>
      <c r="BG82" s="47">
        <f t="shared" si="500"/>
        <v>0</v>
      </c>
      <c r="BH82" s="47">
        <f t="shared" si="500"/>
        <v>0</v>
      </c>
      <c r="BI82" s="65">
        <f t="shared" si="492"/>
        <v>0</v>
      </c>
      <c r="BJ82" s="117"/>
      <c r="BK82" s="128">
        <v>0.0</v>
      </c>
      <c r="BL82" s="128">
        <v>0.0</v>
      </c>
      <c r="BM82" s="128">
        <v>0.0</v>
      </c>
      <c r="BN82" s="128">
        <v>0.0</v>
      </c>
      <c r="BO82" s="128">
        <v>0.0</v>
      </c>
      <c r="BP82" s="128">
        <v>0.0</v>
      </c>
      <c r="BQ82" s="128">
        <v>0.0</v>
      </c>
      <c r="BR82" s="128">
        <v>0.0</v>
      </c>
      <c r="BS82" s="128">
        <v>0.0</v>
      </c>
      <c r="BT82" s="128">
        <v>0.0</v>
      </c>
      <c r="BU82" s="128">
        <v>0.0</v>
      </c>
      <c r="BV82" s="128">
        <v>0.0</v>
      </c>
      <c r="BW82" s="129">
        <v>0.0</v>
      </c>
      <c r="BX82" s="1"/>
      <c r="BY82" s="47"/>
      <c r="BZ82" s="47"/>
      <c r="CA82" s="47"/>
      <c r="CB82" s="47"/>
      <c r="CC82" s="47"/>
      <c r="CD82" s="47"/>
      <c r="CE82" s="47"/>
      <c r="CF82" s="47"/>
      <c r="CG82" s="47"/>
      <c r="CH82" s="47"/>
      <c r="CI82" s="47"/>
      <c r="CJ82" s="47"/>
      <c r="CK82" s="65"/>
      <c r="CL82" s="47"/>
      <c r="CM82" s="47"/>
      <c r="CN82" s="47"/>
      <c r="CO82" s="47"/>
      <c r="CP82" s="47"/>
      <c r="CQ82" s="47"/>
      <c r="CR82" s="47"/>
      <c r="CS82" s="47"/>
      <c r="CT82" s="47"/>
      <c r="CU82" s="47"/>
      <c r="CV82" s="47"/>
      <c r="CW82" s="47"/>
      <c r="CX82" s="47"/>
      <c r="CY82" s="65"/>
      <c r="CZ82" s="11"/>
      <c r="DA82" s="47">
        <f t="shared" si="493"/>
        <v>0</v>
      </c>
      <c r="DB82" s="47"/>
      <c r="DC82" s="47"/>
      <c r="DD82" s="47"/>
      <c r="DE82" s="47"/>
      <c r="DF82" s="47"/>
      <c r="DG82" s="47"/>
      <c r="DH82" s="47"/>
      <c r="DI82" s="47"/>
      <c r="DJ82" s="47"/>
      <c r="DK82" s="47"/>
      <c r="DL82" s="47"/>
      <c r="DM82" s="65">
        <f t="shared" si="494"/>
        <v>0</v>
      </c>
      <c r="DN82" s="1"/>
      <c r="DO82" s="130"/>
      <c r="DP82" s="130"/>
      <c r="DQ82" s="131"/>
    </row>
    <row r="83" outlineLevel="1">
      <c r="A83" s="15"/>
      <c r="B83" s="133" t="s">
        <v>92</v>
      </c>
      <c r="C83" s="124"/>
      <c r="D83" s="57">
        <f t="shared" ref="D83:G83" si="501">SUM(D78:D82)</f>
        <v>0</v>
      </c>
      <c r="E83" s="57">
        <f t="shared" si="501"/>
        <v>0</v>
      </c>
      <c r="F83" s="57">
        <f t="shared" si="501"/>
        <v>374926.3837</v>
      </c>
      <c r="G83" s="57">
        <f t="shared" si="501"/>
        <v>0</v>
      </c>
      <c r="H83" s="125"/>
      <c r="I83" s="75">
        <f t="shared" si="467"/>
        <v>0</v>
      </c>
      <c r="J83" s="60">
        <f t="shared" si="468"/>
        <v>0</v>
      </c>
      <c r="K83" s="75">
        <f t="shared" si="469"/>
        <v>-374926.3837</v>
      </c>
      <c r="L83" s="60">
        <f t="shared" si="470"/>
        <v>-1</v>
      </c>
      <c r="M83" s="75">
        <f t="shared" si="471"/>
        <v>0</v>
      </c>
      <c r="N83" s="60">
        <f t="shared" si="472"/>
        <v>0</v>
      </c>
      <c r="O83" s="125"/>
      <c r="P83" s="57">
        <f t="shared" ref="P83:R83" si="502">SUM(P78:P82)</f>
        <v>0</v>
      </c>
      <c r="Q83" s="57">
        <f t="shared" si="502"/>
        <v>1724110.497</v>
      </c>
      <c r="R83" s="57">
        <f t="shared" si="502"/>
        <v>0</v>
      </c>
      <c r="S83" s="125"/>
      <c r="T83" s="75">
        <f t="shared" si="476"/>
        <v>-1724110.497</v>
      </c>
      <c r="U83" s="60">
        <f t="shared" si="477"/>
        <v>-1</v>
      </c>
      <c r="V83" s="75">
        <f t="shared" si="478"/>
        <v>0</v>
      </c>
      <c r="W83" s="60">
        <f t="shared" si="479"/>
        <v>0</v>
      </c>
      <c r="X83" s="125"/>
      <c r="Y83" s="57">
        <f t="shared" ref="Y83:AB83" si="503">SUM(Y78:Y82)</f>
        <v>1226415.397</v>
      </c>
      <c r="Z83" s="57">
        <f t="shared" si="503"/>
        <v>3262549.763</v>
      </c>
      <c r="AA83" s="57">
        <f t="shared" si="503"/>
        <v>4986660.26</v>
      </c>
      <c r="AB83" s="57">
        <f t="shared" si="503"/>
        <v>0</v>
      </c>
      <c r="AC83" s="125"/>
      <c r="AD83" s="75">
        <f t="shared" si="484"/>
        <v>-3760244.863</v>
      </c>
      <c r="AE83" s="60">
        <f t="shared" si="485"/>
        <v>-0.7540607675</v>
      </c>
      <c r="AF83" s="75">
        <f t="shared" si="486"/>
        <v>1226415.397</v>
      </c>
      <c r="AG83" s="60">
        <f t="shared" si="487"/>
        <v>0</v>
      </c>
      <c r="AH83" s="134"/>
      <c r="AI83" s="57">
        <f t="shared" ref="AI83:AU83" si="504">SUM(AI78:AI82)</f>
        <v>0</v>
      </c>
      <c r="AJ83" s="57">
        <f t="shared" si="504"/>
        <v>0</v>
      </c>
      <c r="AK83" s="57">
        <f t="shared" si="504"/>
        <v>0</v>
      </c>
      <c r="AL83" s="57">
        <f t="shared" si="504"/>
        <v>0</v>
      </c>
      <c r="AM83" s="57">
        <f t="shared" si="504"/>
        <v>0</v>
      </c>
      <c r="AN83" s="57">
        <f t="shared" si="504"/>
        <v>0</v>
      </c>
      <c r="AO83" s="57">
        <f t="shared" si="504"/>
        <v>0</v>
      </c>
      <c r="AP83" s="57">
        <f t="shared" si="504"/>
        <v>0</v>
      </c>
      <c r="AQ83" s="57">
        <f t="shared" si="504"/>
        <v>0</v>
      </c>
      <c r="AR83" s="57">
        <f t="shared" si="504"/>
        <v>627761.3138</v>
      </c>
      <c r="AS83" s="57">
        <f t="shared" si="504"/>
        <v>281815.2064</v>
      </c>
      <c r="AT83" s="57">
        <f t="shared" si="504"/>
        <v>316838.8771</v>
      </c>
      <c r="AU83" s="57">
        <f t="shared" si="504"/>
        <v>1226415.397</v>
      </c>
      <c r="AV83" s="127"/>
      <c r="AW83" s="57">
        <f t="shared" ref="AW83:BI83" si="505">SUM(AW78:AW82)</f>
        <v>0</v>
      </c>
      <c r="AX83" s="57">
        <f t="shared" si="505"/>
        <v>0</v>
      </c>
      <c r="AY83" s="57">
        <f t="shared" si="505"/>
        <v>0</v>
      </c>
      <c r="AZ83" s="57">
        <f t="shared" si="505"/>
        <v>0</v>
      </c>
      <c r="BA83" s="57">
        <f t="shared" si="505"/>
        <v>0</v>
      </c>
      <c r="BB83" s="57">
        <f t="shared" si="505"/>
        <v>0</v>
      </c>
      <c r="BC83" s="57">
        <f t="shared" si="505"/>
        <v>714430.3909</v>
      </c>
      <c r="BD83" s="57">
        <f t="shared" si="505"/>
        <v>702799.7697</v>
      </c>
      <c r="BE83" s="57">
        <f t="shared" si="505"/>
        <v>618904.205</v>
      </c>
      <c r="BF83" s="57">
        <f t="shared" si="505"/>
        <v>627761.3138</v>
      </c>
      <c r="BG83" s="57">
        <f t="shared" si="505"/>
        <v>281815.2064</v>
      </c>
      <c r="BH83" s="57">
        <f t="shared" si="505"/>
        <v>316838.8771</v>
      </c>
      <c r="BI83" s="57">
        <f t="shared" si="505"/>
        <v>3262549.763</v>
      </c>
      <c r="BJ83" s="134"/>
      <c r="BK83" s="135">
        <v>368096.7315</v>
      </c>
      <c r="BL83" s="135">
        <v>359137.4859</v>
      </c>
      <c r="BM83" s="135">
        <v>224045.981</v>
      </c>
      <c r="BN83" s="135">
        <v>178930.0091</v>
      </c>
      <c r="BO83" s="135">
        <v>218973.906</v>
      </c>
      <c r="BP83" s="135">
        <v>374926.3837</v>
      </c>
      <c r="BQ83" s="135">
        <v>714430.3909</v>
      </c>
      <c r="BR83" s="135">
        <v>702799.7697</v>
      </c>
      <c r="BS83" s="135">
        <v>618904.205</v>
      </c>
      <c r="BT83" s="135">
        <v>627761.3138</v>
      </c>
      <c r="BU83" s="135">
        <v>281815.2064</v>
      </c>
      <c r="BV83" s="135">
        <v>316838.8771</v>
      </c>
      <c r="BW83" s="135">
        <v>4986660.26</v>
      </c>
      <c r="BX83" s="1"/>
      <c r="BY83" s="57"/>
      <c r="BZ83" s="57"/>
      <c r="CA83" s="57"/>
      <c r="CB83" s="57"/>
      <c r="CC83" s="57"/>
      <c r="CD83" s="57"/>
      <c r="CE83" s="57"/>
      <c r="CF83" s="57"/>
      <c r="CG83" s="57"/>
      <c r="CH83" s="57"/>
      <c r="CI83" s="57"/>
      <c r="CJ83" s="57"/>
      <c r="CK83" s="57"/>
      <c r="CL83" s="57"/>
      <c r="CM83" s="57"/>
      <c r="CN83" s="57"/>
      <c r="CO83" s="57"/>
      <c r="CP83" s="57"/>
      <c r="CQ83" s="57"/>
      <c r="CR83" s="57"/>
      <c r="CS83" s="57"/>
      <c r="CT83" s="57"/>
      <c r="CU83" s="57"/>
      <c r="CV83" s="57"/>
      <c r="CW83" s="57"/>
      <c r="CX83" s="57"/>
      <c r="CY83" s="57"/>
      <c r="CZ83" s="11"/>
      <c r="DA83" s="57">
        <f>SUM(DA78:DA82)</f>
        <v>368096.7315</v>
      </c>
      <c r="DB83" s="57"/>
      <c r="DC83" s="57"/>
      <c r="DD83" s="57"/>
      <c r="DE83" s="57"/>
      <c r="DF83" s="57"/>
      <c r="DG83" s="57"/>
      <c r="DH83" s="57"/>
      <c r="DI83" s="57"/>
      <c r="DJ83" s="57"/>
      <c r="DK83" s="57"/>
      <c r="DL83" s="57"/>
      <c r="DM83" s="57">
        <f>SUM(DM78:DM82)</f>
        <v>368096.7315</v>
      </c>
      <c r="DN83" s="1"/>
      <c r="DO83" s="136"/>
      <c r="DP83" s="136"/>
      <c r="DQ83" s="131"/>
    </row>
    <row r="84" outlineLevel="1">
      <c r="A84" s="15"/>
      <c r="B84" s="133" t="s">
        <v>93</v>
      </c>
      <c r="C84" s="124"/>
      <c r="D84" s="57">
        <f t="shared" ref="D84:D86" si="508">SUMIFS($CM84:$CX84,$CM$35:$CX$35,$D$2)</f>
        <v>0</v>
      </c>
      <c r="E84" s="57">
        <f t="shared" ref="E84:E86" si="509">SUMIFS($DA84:$DM84,$DA$35:$DM$35,$D$2)</f>
        <v>0</v>
      </c>
      <c r="F84" s="57">
        <f t="shared" ref="F84:F86" si="510">SUMIFS($BK84:$BV84,$BK$35:$BV$35,$D$2)</f>
        <v>32908.516</v>
      </c>
      <c r="G84" s="57">
        <f t="shared" ref="G84:G86" si="511">SUMIFS($BY84:$CJ84,$BY$35:$CJ$35,$D$2)</f>
        <v>0</v>
      </c>
      <c r="H84" s="48"/>
      <c r="I84" s="66">
        <f t="shared" si="467"/>
        <v>0</v>
      </c>
      <c r="J84" s="67">
        <f t="shared" si="468"/>
        <v>0</v>
      </c>
      <c r="K84" s="66">
        <f t="shared" si="469"/>
        <v>-32908.516</v>
      </c>
      <c r="L84" s="67">
        <f t="shared" si="470"/>
        <v>-1</v>
      </c>
      <c r="M84" s="66">
        <f t="shared" si="471"/>
        <v>0</v>
      </c>
      <c r="N84" s="67">
        <f t="shared" si="472"/>
        <v>0</v>
      </c>
      <c r="O84" s="48"/>
      <c r="P84" s="57">
        <f t="shared" ref="P84:P86" si="512">SUMIFS($CM84:$CX84,$CM$35:$CX$35,$P$2)</f>
        <v>0</v>
      </c>
      <c r="Q84" s="57">
        <f t="shared" ref="Q84:Q86" si="513">SUMIFS($BK84:$BV84,$BK$35:$BV$35,$P$2)</f>
        <v>164627.888</v>
      </c>
      <c r="R84" s="57">
        <f t="shared" ref="R84:R86" si="514">SUMIFS($BY84:$CJ84,$BY$35:$CJ$35,$P$2)</f>
        <v>0</v>
      </c>
      <c r="S84" s="48"/>
      <c r="T84" s="66">
        <f t="shared" si="476"/>
        <v>-164627.888</v>
      </c>
      <c r="U84" s="67">
        <f t="shared" si="477"/>
        <v>-1</v>
      </c>
      <c r="V84" s="66">
        <f t="shared" si="478"/>
        <v>0</v>
      </c>
      <c r="W84" s="67">
        <f t="shared" si="479"/>
        <v>0</v>
      </c>
      <c r="X84" s="48"/>
      <c r="Y84" s="57">
        <f t="shared" ref="Y84:Y86" si="515">$AU84</f>
        <v>76833.66</v>
      </c>
      <c r="Z84" s="57">
        <f t="shared" ref="Z84:Z86" si="516">$BI84</f>
        <v>257281.725</v>
      </c>
      <c r="AA84" s="57">
        <f t="shared" ref="AA84:AA86" si="517">$BW84</f>
        <v>421909.613</v>
      </c>
      <c r="AB84" s="95" t="str">
        <f t="shared" ref="AB84:AB86" si="518">$CK84</f>
        <v/>
      </c>
      <c r="AC84" s="125"/>
      <c r="AD84" s="66">
        <f t="shared" si="484"/>
        <v>-345075.953</v>
      </c>
      <c r="AE84" s="67">
        <f t="shared" si="485"/>
        <v>-0.8178907102</v>
      </c>
      <c r="AF84" s="66">
        <f t="shared" si="486"/>
        <v>76833.66</v>
      </c>
      <c r="AG84" s="67">
        <f t="shared" si="487"/>
        <v>0</v>
      </c>
      <c r="AH84" s="134"/>
      <c r="AI84" s="47" t="str">
        <f t="shared" ref="AI84:AI86" si="519">IFERROR(IF(AI$3="A",CM84,IF(AI$3="F",DA84)),0)</f>
        <v/>
      </c>
      <c r="AJ84" s="47" t="str">
        <f t="shared" ref="AJ84:AT84" si="506">IFERROR(IF(AJ$3="A",CN84,IF(AJ$3="F",DB84,IF(AJ$3="B",BL84,0))),"")</f>
        <v/>
      </c>
      <c r="AK84" s="47" t="str">
        <f t="shared" si="506"/>
        <v/>
      </c>
      <c r="AL84" s="47" t="str">
        <f t="shared" si="506"/>
        <v/>
      </c>
      <c r="AM84" s="47" t="str">
        <f t="shared" si="506"/>
        <v/>
      </c>
      <c r="AN84" s="47" t="str">
        <f t="shared" si="506"/>
        <v/>
      </c>
      <c r="AO84" s="47" t="str">
        <f t="shared" si="506"/>
        <v/>
      </c>
      <c r="AP84" s="47" t="str">
        <f t="shared" si="506"/>
        <v/>
      </c>
      <c r="AQ84" s="47" t="str">
        <f t="shared" si="506"/>
        <v/>
      </c>
      <c r="AR84" s="47">
        <f t="shared" si="506"/>
        <v>33648.224</v>
      </c>
      <c r="AS84" s="47">
        <f t="shared" si="506"/>
        <v>19690.207</v>
      </c>
      <c r="AT84" s="47">
        <f t="shared" si="506"/>
        <v>23495.229</v>
      </c>
      <c r="AU84" s="57">
        <f t="shared" ref="AU84:AU86" si="521">SUM(AI84:AT84)</f>
        <v>76833.66</v>
      </c>
      <c r="AV84" s="127"/>
      <c r="AW84" s="47" t="str">
        <f t="shared" ref="AW84:BH84" si="507">IFERROR(IF(AW$3="A",CM84,IF(AW$3="B",BK84)),0)</f>
        <v/>
      </c>
      <c r="AX84" s="47" t="str">
        <f t="shared" si="507"/>
        <v/>
      </c>
      <c r="AY84" s="47" t="str">
        <f t="shared" si="507"/>
        <v/>
      </c>
      <c r="AZ84" s="47" t="str">
        <f t="shared" si="507"/>
        <v/>
      </c>
      <c r="BA84" s="47" t="str">
        <f t="shared" si="507"/>
        <v/>
      </c>
      <c r="BB84" s="47" t="str">
        <f t="shared" si="507"/>
        <v/>
      </c>
      <c r="BC84" s="47">
        <f t="shared" si="507"/>
        <v>69213.907</v>
      </c>
      <c r="BD84" s="47">
        <f t="shared" si="507"/>
        <v>62010.696</v>
      </c>
      <c r="BE84" s="47">
        <f t="shared" si="507"/>
        <v>49223.462</v>
      </c>
      <c r="BF84" s="47">
        <f t="shared" si="507"/>
        <v>33648.224</v>
      </c>
      <c r="BG84" s="47">
        <f t="shared" si="507"/>
        <v>19690.207</v>
      </c>
      <c r="BH84" s="47">
        <f t="shared" si="507"/>
        <v>23495.229</v>
      </c>
      <c r="BI84" s="57">
        <f t="shared" ref="BI84:BI86" si="523">SUM(AW84:BH84)</f>
        <v>257281.725</v>
      </c>
      <c r="BJ84" s="134"/>
      <c r="BK84" s="128">
        <v>39622.45</v>
      </c>
      <c r="BL84" s="128">
        <v>31836.121</v>
      </c>
      <c r="BM84" s="128">
        <v>24415.924</v>
      </c>
      <c r="BN84" s="128">
        <v>19311.804</v>
      </c>
      <c r="BO84" s="128">
        <v>16533.073</v>
      </c>
      <c r="BP84" s="128">
        <v>32908.516</v>
      </c>
      <c r="BQ84" s="128">
        <v>69213.907</v>
      </c>
      <c r="BR84" s="128">
        <v>62010.696</v>
      </c>
      <c r="BS84" s="128">
        <v>49223.462</v>
      </c>
      <c r="BT84" s="128">
        <v>33648.224</v>
      </c>
      <c r="BU84" s="128">
        <v>19690.207</v>
      </c>
      <c r="BV84" s="128">
        <v>23495.229</v>
      </c>
      <c r="BW84" s="135">
        <v>421909.613</v>
      </c>
      <c r="BX84" s="1"/>
      <c r="BY84" s="47"/>
      <c r="BZ84" s="47"/>
      <c r="CA84" s="47"/>
      <c r="CB84" s="47"/>
      <c r="CC84" s="47"/>
      <c r="CD84" s="47"/>
      <c r="CE84" s="47"/>
      <c r="CF84" s="47"/>
      <c r="CG84" s="47"/>
      <c r="CH84" s="47"/>
      <c r="CI84" s="47"/>
      <c r="CJ84" s="47"/>
      <c r="CK84" s="57"/>
      <c r="CL84" s="57"/>
      <c r="CM84" s="47"/>
      <c r="CN84" s="47"/>
      <c r="CO84" s="47"/>
      <c r="CP84" s="47"/>
      <c r="CQ84" s="47"/>
      <c r="CR84" s="47"/>
      <c r="CS84" s="47"/>
      <c r="CT84" s="47"/>
      <c r="CU84" s="47"/>
      <c r="CV84" s="47"/>
      <c r="CW84" s="47"/>
      <c r="CX84" s="47"/>
      <c r="CY84" s="57"/>
      <c r="CZ84" s="11"/>
      <c r="DA84" s="57">
        <f t="shared" ref="DA84:DA86" si="524">BK84</f>
        <v>39622.45</v>
      </c>
      <c r="DB84" s="57"/>
      <c r="DC84" s="57"/>
      <c r="DD84" s="57"/>
      <c r="DE84" s="57"/>
      <c r="DF84" s="57"/>
      <c r="DG84" s="57"/>
      <c r="DH84" s="57"/>
      <c r="DI84" s="57"/>
      <c r="DJ84" s="57"/>
      <c r="DK84" s="57"/>
      <c r="DL84" s="57"/>
      <c r="DM84" s="57">
        <f t="shared" ref="DM84:DM86" si="525">SUM(DA84:DL84)</f>
        <v>39622.45</v>
      </c>
      <c r="DN84" s="1"/>
      <c r="DO84" s="136"/>
      <c r="DP84" s="136"/>
      <c r="DQ84" s="131"/>
    </row>
    <row r="85" outlineLevel="1">
      <c r="A85" s="15"/>
      <c r="B85" s="133" t="s">
        <v>94</v>
      </c>
      <c r="C85" s="124"/>
      <c r="D85" s="57">
        <f t="shared" si="508"/>
        <v>0</v>
      </c>
      <c r="E85" s="57">
        <f t="shared" si="509"/>
        <v>0</v>
      </c>
      <c r="F85" s="57">
        <f t="shared" si="510"/>
        <v>43522.286</v>
      </c>
      <c r="G85" s="57">
        <f t="shared" si="511"/>
        <v>0</v>
      </c>
      <c r="H85" s="48"/>
      <c r="I85" s="66">
        <f t="shared" si="467"/>
        <v>0</v>
      </c>
      <c r="J85" s="67">
        <f t="shared" si="468"/>
        <v>0</v>
      </c>
      <c r="K85" s="66">
        <f t="shared" si="469"/>
        <v>-43522.286</v>
      </c>
      <c r="L85" s="67">
        <f t="shared" si="470"/>
        <v>-1</v>
      </c>
      <c r="M85" s="66">
        <f t="shared" si="471"/>
        <v>0</v>
      </c>
      <c r="N85" s="67">
        <f t="shared" si="472"/>
        <v>0</v>
      </c>
      <c r="O85" s="48"/>
      <c r="P85" s="57">
        <f t="shared" si="512"/>
        <v>0</v>
      </c>
      <c r="Q85" s="57">
        <f t="shared" si="513"/>
        <v>216049.017</v>
      </c>
      <c r="R85" s="57">
        <f t="shared" si="514"/>
        <v>0</v>
      </c>
      <c r="S85" s="48"/>
      <c r="T85" s="66">
        <f t="shared" si="476"/>
        <v>-216049.017</v>
      </c>
      <c r="U85" s="67">
        <f t="shared" si="477"/>
        <v>-1</v>
      </c>
      <c r="V85" s="66">
        <f t="shared" si="478"/>
        <v>0</v>
      </c>
      <c r="W85" s="67">
        <f t="shared" si="479"/>
        <v>0</v>
      </c>
      <c r="X85" s="48"/>
      <c r="Y85" s="57">
        <f t="shared" si="515"/>
        <v>318054.481</v>
      </c>
      <c r="Z85" s="57">
        <f t="shared" si="516"/>
        <v>745275.963</v>
      </c>
      <c r="AA85" s="57">
        <f t="shared" si="517"/>
        <v>961324.98</v>
      </c>
      <c r="AB85" s="95" t="str">
        <f t="shared" si="518"/>
        <v/>
      </c>
      <c r="AC85" s="125"/>
      <c r="AD85" s="66">
        <f t="shared" si="484"/>
        <v>-643270.499</v>
      </c>
      <c r="AE85" s="67">
        <f t="shared" si="485"/>
        <v>-0.6691498842</v>
      </c>
      <c r="AF85" s="66">
        <f t="shared" si="486"/>
        <v>318054.481</v>
      </c>
      <c r="AG85" s="67">
        <f t="shared" si="487"/>
        <v>0</v>
      </c>
      <c r="AH85" s="134"/>
      <c r="AI85" s="47" t="str">
        <f t="shared" si="519"/>
        <v/>
      </c>
      <c r="AJ85" s="47" t="str">
        <f t="shared" ref="AJ85:AT85" si="520">IFERROR(IF(AJ$3="A",CN85,IF(AJ$3="F",DB85,IF(AJ$3="B",BL85,0))),"")</f>
        <v/>
      </c>
      <c r="AK85" s="47" t="str">
        <f t="shared" si="520"/>
        <v/>
      </c>
      <c r="AL85" s="47" t="str">
        <f t="shared" si="520"/>
        <v/>
      </c>
      <c r="AM85" s="47" t="str">
        <f t="shared" si="520"/>
        <v/>
      </c>
      <c r="AN85" s="47" t="str">
        <f t="shared" si="520"/>
        <v/>
      </c>
      <c r="AO85" s="47" t="str">
        <f t="shared" si="520"/>
        <v/>
      </c>
      <c r="AP85" s="47" t="str">
        <f t="shared" si="520"/>
        <v/>
      </c>
      <c r="AQ85" s="47" t="str">
        <f t="shared" si="520"/>
        <v/>
      </c>
      <c r="AR85" s="47">
        <f t="shared" si="520"/>
        <v>154625.158</v>
      </c>
      <c r="AS85" s="47">
        <f t="shared" si="520"/>
        <v>79064.182</v>
      </c>
      <c r="AT85" s="47">
        <f t="shared" si="520"/>
        <v>84365.141</v>
      </c>
      <c r="AU85" s="57">
        <f t="shared" si="521"/>
        <v>318054.481</v>
      </c>
      <c r="AV85" s="127"/>
      <c r="AW85" s="47" t="str">
        <f t="shared" ref="AW85:BH85" si="522">IFERROR(IF(AW$3="A",CM85,IF(AW$3="B",BK85)),0)</f>
        <v/>
      </c>
      <c r="AX85" s="47" t="str">
        <f t="shared" si="522"/>
        <v/>
      </c>
      <c r="AY85" s="47" t="str">
        <f t="shared" si="522"/>
        <v/>
      </c>
      <c r="AZ85" s="47" t="str">
        <f t="shared" si="522"/>
        <v/>
      </c>
      <c r="BA85" s="47" t="str">
        <f t="shared" si="522"/>
        <v/>
      </c>
      <c r="BB85" s="47" t="str">
        <f t="shared" si="522"/>
        <v/>
      </c>
      <c r="BC85" s="47">
        <f t="shared" si="522"/>
        <v>136627.004</v>
      </c>
      <c r="BD85" s="47">
        <f t="shared" si="522"/>
        <v>161640.841</v>
      </c>
      <c r="BE85" s="47">
        <f t="shared" si="522"/>
        <v>128953.637</v>
      </c>
      <c r="BF85" s="47">
        <f t="shared" si="522"/>
        <v>154625.158</v>
      </c>
      <c r="BG85" s="47">
        <f t="shared" si="522"/>
        <v>79064.182</v>
      </c>
      <c r="BH85" s="47">
        <f t="shared" si="522"/>
        <v>84365.141</v>
      </c>
      <c r="BI85" s="57">
        <f t="shared" si="523"/>
        <v>745275.963</v>
      </c>
      <c r="BJ85" s="134"/>
      <c r="BK85" s="128">
        <v>45187.889</v>
      </c>
      <c r="BL85" s="128">
        <v>40391.663</v>
      </c>
      <c r="BM85" s="128">
        <v>26954.956</v>
      </c>
      <c r="BN85" s="128">
        <v>17556.41</v>
      </c>
      <c r="BO85" s="128">
        <v>42435.813</v>
      </c>
      <c r="BP85" s="128">
        <v>43522.286</v>
      </c>
      <c r="BQ85" s="128">
        <v>136627.004</v>
      </c>
      <c r="BR85" s="128">
        <v>161640.841</v>
      </c>
      <c r="BS85" s="128">
        <v>128953.637</v>
      </c>
      <c r="BT85" s="128">
        <v>154625.158</v>
      </c>
      <c r="BU85" s="128">
        <v>79064.182</v>
      </c>
      <c r="BV85" s="128">
        <v>84365.141</v>
      </c>
      <c r="BW85" s="135">
        <v>961324.98</v>
      </c>
      <c r="BX85" s="1"/>
      <c r="BY85" s="47"/>
      <c r="BZ85" s="47"/>
      <c r="CA85" s="47"/>
      <c r="CB85" s="47"/>
      <c r="CC85" s="47"/>
      <c r="CD85" s="47"/>
      <c r="CE85" s="47"/>
      <c r="CF85" s="47"/>
      <c r="CG85" s="47"/>
      <c r="CH85" s="47"/>
      <c r="CI85" s="47"/>
      <c r="CJ85" s="47"/>
      <c r="CK85" s="57"/>
      <c r="CL85" s="47"/>
      <c r="CM85" s="47"/>
      <c r="CN85" s="47"/>
      <c r="CO85" s="47"/>
      <c r="CP85" s="47"/>
      <c r="CQ85" s="47"/>
      <c r="CR85" s="47"/>
      <c r="CS85" s="47"/>
      <c r="CT85" s="47"/>
      <c r="CU85" s="47"/>
      <c r="CV85" s="47"/>
      <c r="CW85" s="47"/>
      <c r="CX85" s="47"/>
      <c r="CY85" s="57"/>
      <c r="CZ85" s="11"/>
      <c r="DA85" s="57">
        <f t="shared" si="524"/>
        <v>45187.889</v>
      </c>
      <c r="DB85" s="57"/>
      <c r="DC85" s="57"/>
      <c r="DD85" s="57"/>
      <c r="DE85" s="57"/>
      <c r="DF85" s="57"/>
      <c r="DG85" s="57"/>
      <c r="DH85" s="57"/>
      <c r="DI85" s="57"/>
      <c r="DJ85" s="57"/>
      <c r="DK85" s="57"/>
      <c r="DL85" s="57"/>
      <c r="DM85" s="57">
        <f t="shared" si="525"/>
        <v>45187.889</v>
      </c>
      <c r="DN85" s="1"/>
      <c r="DO85" s="136"/>
      <c r="DP85" s="136"/>
      <c r="DQ85" s="131"/>
    </row>
    <row r="86" outlineLevel="1">
      <c r="A86" s="15"/>
      <c r="B86" s="133" t="s">
        <v>95</v>
      </c>
      <c r="C86" s="124"/>
      <c r="D86" s="57">
        <f t="shared" si="508"/>
        <v>0</v>
      </c>
      <c r="E86" s="57">
        <f t="shared" si="509"/>
        <v>0</v>
      </c>
      <c r="F86" s="57">
        <f t="shared" si="510"/>
        <v>0</v>
      </c>
      <c r="G86" s="57">
        <f t="shared" si="511"/>
        <v>0</v>
      </c>
      <c r="H86" s="48"/>
      <c r="I86" s="66">
        <f t="shared" si="467"/>
        <v>0</v>
      </c>
      <c r="J86" s="67">
        <f t="shared" si="468"/>
        <v>0</v>
      </c>
      <c r="K86" s="66">
        <f t="shared" si="469"/>
        <v>0</v>
      </c>
      <c r="L86" s="67">
        <f t="shared" si="470"/>
        <v>0</v>
      </c>
      <c r="M86" s="66">
        <f t="shared" si="471"/>
        <v>0</v>
      </c>
      <c r="N86" s="67">
        <f t="shared" si="472"/>
        <v>0</v>
      </c>
      <c r="O86" s="48"/>
      <c r="P86" s="57">
        <f t="shared" si="512"/>
        <v>0</v>
      </c>
      <c r="Q86" s="57">
        <f t="shared" si="513"/>
        <v>0</v>
      </c>
      <c r="R86" s="57">
        <f t="shared" si="514"/>
        <v>0</v>
      </c>
      <c r="S86" s="48"/>
      <c r="T86" s="66">
        <f t="shared" si="476"/>
        <v>0</v>
      </c>
      <c r="U86" s="67">
        <f t="shared" si="477"/>
        <v>0</v>
      </c>
      <c r="V86" s="66">
        <f t="shared" si="478"/>
        <v>0</v>
      </c>
      <c r="W86" s="67">
        <f t="shared" si="479"/>
        <v>0</v>
      </c>
      <c r="X86" s="48"/>
      <c r="Y86" s="57">
        <f t="shared" si="515"/>
        <v>0</v>
      </c>
      <c r="Z86" s="57">
        <f t="shared" si="516"/>
        <v>0</v>
      </c>
      <c r="AA86" s="57">
        <f t="shared" si="517"/>
        <v>0</v>
      </c>
      <c r="AB86" s="95" t="str">
        <f t="shared" si="518"/>
        <v/>
      </c>
      <c r="AC86" s="125"/>
      <c r="AD86" s="66">
        <f t="shared" si="484"/>
        <v>0</v>
      </c>
      <c r="AE86" s="67">
        <f t="shared" si="485"/>
        <v>0</v>
      </c>
      <c r="AF86" s="66">
        <f t="shared" si="486"/>
        <v>0</v>
      </c>
      <c r="AG86" s="67">
        <f t="shared" si="487"/>
        <v>0</v>
      </c>
      <c r="AH86" s="134"/>
      <c r="AI86" s="47" t="str">
        <f t="shared" si="519"/>
        <v/>
      </c>
      <c r="AJ86" s="47" t="str">
        <f t="shared" ref="AJ86:AT86" si="526">IFERROR(IF(AJ$3="A",CN86,IF(AJ$3="F",DB86,IF(AJ$3="B",BL86,0))),"")</f>
        <v/>
      </c>
      <c r="AK86" s="47" t="str">
        <f t="shared" si="526"/>
        <v/>
      </c>
      <c r="AL86" s="47" t="str">
        <f t="shared" si="526"/>
        <v/>
      </c>
      <c r="AM86" s="47" t="str">
        <f t="shared" si="526"/>
        <v/>
      </c>
      <c r="AN86" s="47" t="str">
        <f t="shared" si="526"/>
        <v/>
      </c>
      <c r="AO86" s="47" t="str">
        <f t="shared" si="526"/>
        <v/>
      </c>
      <c r="AP86" s="47" t="str">
        <f t="shared" si="526"/>
        <v/>
      </c>
      <c r="AQ86" s="47" t="str">
        <f t="shared" si="526"/>
        <v/>
      </c>
      <c r="AR86" s="47" t="str">
        <f t="shared" si="526"/>
        <v/>
      </c>
      <c r="AS86" s="47" t="str">
        <f t="shared" si="526"/>
        <v/>
      </c>
      <c r="AT86" s="47" t="str">
        <f t="shared" si="526"/>
        <v/>
      </c>
      <c r="AU86" s="57">
        <f t="shared" si="521"/>
        <v>0</v>
      </c>
      <c r="AV86" s="127"/>
      <c r="AW86" s="47" t="str">
        <f t="shared" ref="AW86:BH86" si="527">IFERROR(IF(AW$3="A",CM86,IF(AW$3="B",BK86)),0)</f>
        <v/>
      </c>
      <c r="AX86" s="47" t="str">
        <f t="shared" si="527"/>
        <v/>
      </c>
      <c r="AY86" s="47" t="str">
        <f t="shared" si="527"/>
        <v/>
      </c>
      <c r="AZ86" s="47" t="str">
        <f t="shared" si="527"/>
        <v/>
      </c>
      <c r="BA86" s="47" t="str">
        <f t="shared" si="527"/>
        <v/>
      </c>
      <c r="BB86" s="47" t="str">
        <f t="shared" si="527"/>
        <v/>
      </c>
      <c r="BC86" s="47" t="str">
        <f t="shared" si="527"/>
        <v/>
      </c>
      <c r="BD86" s="47" t="str">
        <f t="shared" si="527"/>
        <v/>
      </c>
      <c r="BE86" s="47" t="str">
        <f t="shared" si="527"/>
        <v/>
      </c>
      <c r="BF86" s="47" t="str">
        <f t="shared" si="527"/>
        <v/>
      </c>
      <c r="BG86" s="47" t="str">
        <f t="shared" si="527"/>
        <v/>
      </c>
      <c r="BH86" s="47" t="str">
        <f t="shared" si="527"/>
        <v/>
      </c>
      <c r="BI86" s="57">
        <f t="shared" si="523"/>
        <v>0</v>
      </c>
      <c r="BJ86" s="134"/>
      <c r="BK86" s="47"/>
      <c r="BL86" s="47"/>
      <c r="BM86" s="47"/>
      <c r="BN86" s="47"/>
      <c r="BO86" s="47"/>
      <c r="BP86" s="47"/>
      <c r="BQ86" s="47"/>
      <c r="BR86" s="47"/>
      <c r="BS86" s="47"/>
      <c r="BT86" s="47"/>
      <c r="BU86" s="47"/>
      <c r="BV86" s="47"/>
      <c r="BW86" s="135">
        <v>0.0</v>
      </c>
      <c r="BX86" s="1"/>
      <c r="BY86" s="47"/>
      <c r="BZ86" s="47"/>
      <c r="CA86" s="47"/>
      <c r="CB86" s="47"/>
      <c r="CC86" s="47"/>
      <c r="CD86" s="47"/>
      <c r="CE86" s="47"/>
      <c r="CF86" s="47"/>
      <c r="CG86" s="47"/>
      <c r="CH86" s="47"/>
      <c r="CI86" s="47"/>
      <c r="CJ86" s="47"/>
      <c r="CK86" s="57"/>
      <c r="CL86" s="47"/>
      <c r="CM86" s="47"/>
      <c r="CN86" s="47"/>
      <c r="CO86" s="47"/>
      <c r="CP86" s="47"/>
      <c r="CQ86" s="47"/>
      <c r="CR86" s="47"/>
      <c r="CS86" s="47"/>
      <c r="CT86" s="47"/>
      <c r="CU86" s="47"/>
      <c r="CV86" s="47"/>
      <c r="CW86" s="47"/>
      <c r="CX86" s="47"/>
      <c r="CY86" s="57"/>
      <c r="CZ86" s="11"/>
      <c r="DA86" s="95" t="str">
        <f t="shared" si="524"/>
        <v/>
      </c>
      <c r="DB86" s="95"/>
      <c r="DC86" s="95"/>
      <c r="DD86" s="95"/>
      <c r="DE86" s="95"/>
      <c r="DF86" s="95"/>
      <c r="DG86" s="95"/>
      <c r="DH86" s="95"/>
      <c r="DI86" s="95"/>
      <c r="DJ86" s="95"/>
      <c r="DK86" s="95"/>
      <c r="DL86" s="95"/>
      <c r="DM86" s="57">
        <f t="shared" si="525"/>
        <v>0</v>
      </c>
      <c r="DN86" s="1"/>
      <c r="DO86" s="153"/>
      <c r="DP86" s="153"/>
      <c r="DQ86" s="131"/>
    </row>
    <row r="87">
      <c r="A87" s="51"/>
      <c r="B87" s="107" t="s">
        <v>96</v>
      </c>
      <c r="C87" s="156"/>
      <c r="D87" s="157">
        <f t="shared" ref="D87:G87" si="528">SUM(D83:D86)</f>
        <v>0</v>
      </c>
      <c r="E87" s="157">
        <f t="shared" si="528"/>
        <v>0</v>
      </c>
      <c r="F87" s="157">
        <f t="shared" si="528"/>
        <v>451357.1857</v>
      </c>
      <c r="G87" s="157">
        <f t="shared" si="528"/>
        <v>0</v>
      </c>
      <c r="H87" s="48"/>
      <c r="I87" s="75">
        <f t="shared" si="467"/>
        <v>0</v>
      </c>
      <c r="J87" s="60">
        <f t="shared" si="468"/>
        <v>0</v>
      </c>
      <c r="K87" s="75">
        <f t="shared" si="469"/>
        <v>-451357.1857</v>
      </c>
      <c r="L87" s="60">
        <f t="shared" si="470"/>
        <v>-1</v>
      </c>
      <c r="M87" s="75">
        <f t="shared" si="471"/>
        <v>0</v>
      </c>
      <c r="N87" s="60">
        <f t="shared" si="472"/>
        <v>0</v>
      </c>
      <c r="O87" s="48"/>
      <c r="P87" s="157">
        <f t="shared" ref="P87:R87" si="529">SUM(P83:P86)</f>
        <v>0</v>
      </c>
      <c r="Q87" s="157">
        <f t="shared" si="529"/>
        <v>2104787.402</v>
      </c>
      <c r="R87" s="157">
        <f t="shared" si="529"/>
        <v>0</v>
      </c>
      <c r="S87" s="48"/>
      <c r="T87" s="75">
        <f t="shared" si="476"/>
        <v>-2104787.402</v>
      </c>
      <c r="U87" s="60">
        <f t="shared" si="477"/>
        <v>-1</v>
      </c>
      <c r="V87" s="75">
        <f t="shared" si="478"/>
        <v>0</v>
      </c>
      <c r="W87" s="60">
        <f t="shared" si="479"/>
        <v>0</v>
      </c>
      <c r="X87" s="48"/>
      <c r="Y87" s="157">
        <f t="shared" ref="Y87:AB87" si="530">SUM(Y83:Y86)</f>
        <v>1621303.538</v>
      </c>
      <c r="Z87" s="157">
        <f t="shared" si="530"/>
        <v>4265107.451</v>
      </c>
      <c r="AA87" s="157">
        <f t="shared" si="530"/>
        <v>6369894.853</v>
      </c>
      <c r="AB87" s="157">
        <f t="shared" si="530"/>
        <v>0</v>
      </c>
      <c r="AC87" s="48"/>
      <c r="AD87" s="75">
        <f t="shared" si="484"/>
        <v>-4748591.315</v>
      </c>
      <c r="AE87" s="60">
        <f t="shared" si="485"/>
        <v>-0.7454740501</v>
      </c>
      <c r="AF87" s="75">
        <f t="shared" si="486"/>
        <v>1621303.538</v>
      </c>
      <c r="AG87" s="60">
        <f t="shared" si="487"/>
        <v>0</v>
      </c>
      <c r="AH87" s="56"/>
      <c r="AI87" s="157">
        <f t="shared" ref="AI87:AU87" si="531">SUM(AI83:AI86)</f>
        <v>0</v>
      </c>
      <c r="AJ87" s="157">
        <f t="shared" si="531"/>
        <v>0</v>
      </c>
      <c r="AK87" s="157">
        <f t="shared" si="531"/>
        <v>0</v>
      </c>
      <c r="AL87" s="157">
        <f t="shared" si="531"/>
        <v>0</v>
      </c>
      <c r="AM87" s="157">
        <f t="shared" si="531"/>
        <v>0</v>
      </c>
      <c r="AN87" s="157">
        <f t="shared" si="531"/>
        <v>0</v>
      </c>
      <c r="AO87" s="157">
        <f t="shared" si="531"/>
        <v>0</v>
      </c>
      <c r="AP87" s="157">
        <f t="shared" si="531"/>
        <v>0</v>
      </c>
      <c r="AQ87" s="157">
        <f t="shared" si="531"/>
        <v>0</v>
      </c>
      <c r="AR87" s="157">
        <f t="shared" si="531"/>
        <v>816034.6958</v>
      </c>
      <c r="AS87" s="157">
        <f t="shared" si="531"/>
        <v>380569.5954</v>
      </c>
      <c r="AT87" s="157">
        <f t="shared" si="531"/>
        <v>424699.2471</v>
      </c>
      <c r="AU87" s="157">
        <f t="shared" si="531"/>
        <v>1621303.538</v>
      </c>
      <c r="AV87" s="55"/>
      <c r="AW87" s="157">
        <f t="shared" ref="AW87:BI87" si="532">SUM(AW83:AW86)</f>
        <v>0</v>
      </c>
      <c r="AX87" s="157">
        <f t="shared" si="532"/>
        <v>0</v>
      </c>
      <c r="AY87" s="157">
        <f t="shared" si="532"/>
        <v>0</v>
      </c>
      <c r="AZ87" s="157">
        <f t="shared" si="532"/>
        <v>0</v>
      </c>
      <c r="BA87" s="157">
        <f t="shared" si="532"/>
        <v>0</v>
      </c>
      <c r="BB87" s="157">
        <f t="shared" si="532"/>
        <v>0</v>
      </c>
      <c r="BC87" s="157">
        <f t="shared" si="532"/>
        <v>920271.3019</v>
      </c>
      <c r="BD87" s="157">
        <f t="shared" si="532"/>
        <v>926451.3067</v>
      </c>
      <c r="BE87" s="157">
        <f t="shared" si="532"/>
        <v>797081.304</v>
      </c>
      <c r="BF87" s="157">
        <f t="shared" si="532"/>
        <v>816034.6958</v>
      </c>
      <c r="BG87" s="157">
        <f t="shared" si="532"/>
        <v>380569.5954</v>
      </c>
      <c r="BH87" s="157">
        <f t="shared" si="532"/>
        <v>424699.2471</v>
      </c>
      <c r="BI87" s="157">
        <f t="shared" si="532"/>
        <v>4265107.451</v>
      </c>
      <c r="BJ87" s="56"/>
      <c r="BK87" s="158">
        <v>452907.0705</v>
      </c>
      <c r="BL87" s="158">
        <v>431365.2699</v>
      </c>
      <c r="BM87" s="158">
        <v>275416.861</v>
      </c>
      <c r="BN87" s="158">
        <v>215798.2231</v>
      </c>
      <c r="BO87" s="158">
        <v>277942.792</v>
      </c>
      <c r="BP87" s="158">
        <v>451357.1857</v>
      </c>
      <c r="BQ87" s="158">
        <v>920271.3019</v>
      </c>
      <c r="BR87" s="158">
        <v>926451.3067</v>
      </c>
      <c r="BS87" s="158">
        <v>797081.304</v>
      </c>
      <c r="BT87" s="158">
        <v>816034.6958</v>
      </c>
      <c r="BU87" s="158">
        <v>380569.5954</v>
      </c>
      <c r="BV87" s="158">
        <v>424699.2471</v>
      </c>
      <c r="BW87" s="158">
        <v>6369894.853</v>
      </c>
      <c r="BX87" s="58"/>
      <c r="BY87" s="157"/>
      <c r="BZ87" s="157"/>
      <c r="CA87" s="157"/>
      <c r="CB87" s="157"/>
      <c r="CC87" s="157"/>
      <c r="CD87" s="157"/>
      <c r="CE87" s="157"/>
      <c r="CF87" s="157"/>
      <c r="CG87" s="157"/>
      <c r="CH87" s="157"/>
      <c r="CI87" s="157"/>
      <c r="CJ87" s="157"/>
      <c r="CK87" s="157"/>
      <c r="CL87" s="159"/>
      <c r="CM87" s="157"/>
      <c r="CN87" s="157"/>
      <c r="CO87" s="157"/>
      <c r="CP87" s="157"/>
      <c r="CQ87" s="157"/>
      <c r="CR87" s="157"/>
      <c r="CS87" s="157"/>
      <c r="CT87" s="157"/>
      <c r="CU87" s="157"/>
      <c r="CV87" s="157"/>
      <c r="CW87" s="157"/>
      <c r="CX87" s="157"/>
      <c r="CY87" s="157"/>
      <c r="CZ87" s="47"/>
      <c r="DA87" s="157">
        <f>SUM(DA83:DA86)</f>
        <v>452907.0705</v>
      </c>
      <c r="DB87" s="157"/>
      <c r="DC87" s="157"/>
      <c r="DD87" s="157"/>
      <c r="DE87" s="157"/>
      <c r="DF87" s="157"/>
      <c r="DG87" s="157"/>
      <c r="DH87" s="157"/>
      <c r="DI87" s="157"/>
      <c r="DJ87" s="157"/>
      <c r="DK87" s="157"/>
      <c r="DL87" s="157"/>
      <c r="DM87" s="157">
        <f>SUM(DM83:DM86)</f>
        <v>452907.0705</v>
      </c>
      <c r="DN87" s="58"/>
      <c r="DO87" s="160"/>
      <c r="DP87" s="160"/>
      <c r="DQ87" s="131"/>
    </row>
    <row r="88">
      <c r="A88" s="15"/>
      <c r="B88" s="124"/>
      <c r="C88" s="124"/>
      <c r="D88" s="125"/>
      <c r="E88" s="125"/>
      <c r="F88" s="125"/>
      <c r="G88" s="125"/>
      <c r="H88" s="125"/>
      <c r="I88" s="125"/>
      <c r="J88" s="125"/>
      <c r="K88" s="125"/>
      <c r="L88" s="125"/>
      <c r="M88" s="125"/>
      <c r="N88" s="125"/>
      <c r="O88" s="125"/>
      <c r="P88" s="125"/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6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27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26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"/>
      <c r="BY88" s="161"/>
      <c r="BZ88" s="161"/>
      <c r="CA88" s="161"/>
      <c r="CB88" s="161"/>
      <c r="CC88" s="161"/>
      <c r="CD88" s="161"/>
      <c r="CE88" s="16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61"/>
      <c r="CQ88" s="161"/>
      <c r="CR88" s="161"/>
      <c r="CS88" s="161"/>
      <c r="CT88" s="161"/>
      <c r="CU88" s="161"/>
      <c r="CV88" s="161"/>
      <c r="CW88" s="161"/>
      <c r="CX88" s="161"/>
      <c r="CY88" s="161"/>
      <c r="CZ88" s="11"/>
      <c r="DA88" s="162"/>
      <c r="DB88" s="162"/>
      <c r="DC88" s="162"/>
      <c r="DD88" s="162"/>
      <c r="DE88" s="162"/>
      <c r="DF88" s="162"/>
      <c r="DG88" s="162"/>
      <c r="DH88" s="162"/>
      <c r="DI88" s="162"/>
      <c r="DJ88" s="162"/>
      <c r="DK88" s="162"/>
      <c r="DL88" s="162"/>
      <c r="DM88" s="162"/>
      <c r="DN88" s="1"/>
      <c r="DO88" s="163"/>
      <c r="DP88" s="163"/>
      <c r="DQ88" s="131"/>
    </row>
    <row r="89">
      <c r="A89" s="151">
        <v>2.2</v>
      </c>
      <c r="B89" s="152" t="s">
        <v>97</v>
      </c>
      <c r="C89" s="124"/>
      <c r="D89" s="47">
        <f>SUMIFS($CM89:$CX89,$CM$35:$CX$35,$D$2)</f>
        <v>0</v>
      </c>
      <c r="E89" s="47">
        <f>SUMIFS($DA89:$DM89,$DA$35:$DM$35,$D$2)</f>
        <v>0</v>
      </c>
      <c r="F89" s="47">
        <f>SUMIFS($BK89:$BV89,$BK$35:$BV$35,$D$2)</f>
        <v>79248.13</v>
      </c>
      <c r="G89" s="47">
        <f>SUMIFS($BY89:$CJ89,$BY$35:$CJ$35,$D$2)</f>
        <v>0</v>
      </c>
      <c r="H89" s="48"/>
      <c r="I89" s="66">
        <f>E89-D89</f>
        <v>0</v>
      </c>
      <c r="J89" s="67">
        <f>IFERROR(I89/ABS(E89),0)</f>
        <v>0</v>
      </c>
      <c r="K89" s="66">
        <f>F89-D89</f>
        <v>79248.13</v>
      </c>
      <c r="L89" s="67">
        <f>IFERROR(K89/ABS(F89),0)</f>
        <v>1</v>
      </c>
      <c r="M89" s="66">
        <f>G89-D89</f>
        <v>0</v>
      </c>
      <c r="N89" s="67">
        <f>IFERROR(M89/ABS(G89),0)</f>
        <v>0</v>
      </c>
      <c r="O89" s="48"/>
      <c r="P89" s="47">
        <f>SUMIFS($CM89:$CX89,$CM$35:$CX$35,$P$2)</f>
        <v>0</v>
      </c>
      <c r="Q89" s="47">
        <f>SUMIFS($BK89:$BV89,$BK$35:$BV$35,$P$2)</f>
        <v>367289.335</v>
      </c>
      <c r="R89" s="47">
        <f>SUMIFS($BY89:$CJ89,$BY$35:$CJ$35,$P$2)</f>
        <v>0</v>
      </c>
      <c r="S89" s="48"/>
      <c r="T89" s="66">
        <f>Q89-P89</f>
        <v>367289.335</v>
      </c>
      <c r="U89" s="67">
        <f>IFERROR(T89/ABS(Q89),0)</f>
        <v>1</v>
      </c>
      <c r="V89" s="66">
        <f>R89-P89</f>
        <v>0</v>
      </c>
      <c r="W89" s="67">
        <f>IFERROR(V89/ABS(R89),0)</f>
        <v>0</v>
      </c>
      <c r="X89" s="48"/>
      <c r="Y89" s="47">
        <f>$AU89</f>
        <v>253857.87</v>
      </c>
      <c r="Z89" s="47">
        <f>$BI89</f>
        <v>684992.759</v>
      </c>
      <c r="AA89" s="47">
        <f>$BW89</f>
        <v>1052282.094</v>
      </c>
      <c r="AB89" s="95" t="str">
        <f>$CK89</f>
        <v/>
      </c>
      <c r="AC89" s="125"/>
      <c r="AD89" s="66">
        <f>AA89-Y89</f>
        <v>798424.224</v>
      </c>
      <c r="AE89" s="67">
        <f>IFERROR(AD89/ABS(AA89),0)</f>
        <v>0.7587549276</v>
      </c>
      <c r="AF89" s="66">
        <f>AB89-Y89</f>
        <v>-253857.87</v>
      </c>
      <c r="AG89" s="67">
        <f>IFERROR(AF89/ABS(AB89),0)</f>
        <v>0</v>
      </c>
      <c r="AH89" s="134"/>
      <c r="AI89" s="47" t="str">
        <f>IFERROR(IF(AI$3="A",CM89,IF(AI$3="F",DA89)),0)</f>
        <v/>
      </c>
      <c r="AJ89" s="47" t="str">
        <f t="shared" ref="AJ89:AT89" si="533">IFERROR(IF(AJ$3="A",CN89,IF(AJ$3="F",DB89,IF(AJ$3="B",BL89,0))),"")</f>
        <v/>
      </c>
      <c r="AK89" s="47" t="str">
        <f t="shared" si="533"/>
        <v/>
      </c>
      <c r="AL89" s="47" t="str">
        <f t="shared" si="533"/>
        <v/>
      </c>
      <c r="AM89" s="47" t="str">
        <f t="shared" si="533"/>
        <v/>
      </c>
      <c r="AN89" s="47" t="str">
        <f t="shared" si="533"/>
        <v/>
      </c>
      <c r="AO89" s="47" t="str">
        <f t="shared" si="533"/>
        <v/>
      </c>
      <c r="AP89" s="47" t="str">
        <f t="shared" si="533"/>
        <v/>
      </c>
      <c r="AQ89" s="47" t="str">
        <f t="shared" si="533"/>
        <v/>
      </c>
      <c r="AR89" s="47">
        <f t="shared" si="533"/>
        <v>128906.326</v>
      </c>
      <c r="AS89" s="47">
        <f t="shared" si="533"/>
        <v>58706.829</v>
      </c>
      <c r="AT89" s="47">
        <f t="shared" si="533"/>
        <v>66244.715</v>
      </c>
      <c r="AU89" s="65">
        <f>SUM(AI89:AT89)</f>
        <v>253857.87</v>
      </c>
      <c r="AV89" s="127"/>
      <c r="AW89" s="47" t="str">
        <f t="shared" ref="AW89:BH89" si="534">IFERROR(IF(AW$3="A",CM89,IF(AW$3="B",BK89)),0)</f>
        <v/>
      </c>
      <c r="AX89" s="47" t="str">
        <f t="shared" si="534"/>
        <v/>
      </c>
      <c r="AY89" s="47" t="str">
        <f t="shared" si="534"/>
        <v/>
      </c>
      <c r="AZ89" s="47" t="str">
        <f t="shared" si="534"/>
        <v/>
      </c>
      <c r="BA89" s="47" t="str">
        <f t="shared" si="534"/>
        <v/>
      </c>
      <c r="BB89" s="47" t="str">
        <f t="shared" si="534"/>
        <v/>
      </c>
      <c r="BC89" s="47">
        <f t="shared" si="534"/>
        <v>152331.891</v>
      </c>
      <c r="BD89" s="47">
        <f t="shared" si="534"/>
        <v>148757.913</v>
      </c>
      <c r="BE89" s="47">
        <f t="shared" si="534"/>
        <v>130045.085</v>
      </c>
      <c r="BF89" s="47">
        <f t="shared" si="534"/>
        <v>128906.326</v>
      </c>
      <c r="BG89" s="47">
        <f t="shared" si="534"/>
        <v>58706.829</v>
      </c>
      <c r="BH89" s="47">
        <f t="shared" si="534"/>
        <v>66244.715</v>
      </c>
      <c r="BI89" s="65">
        <f>SUM(AW89:BH89)</f>
        <v>684992.759</v>
      </c>
      <c r="BJ89" s="134"/>
      <c r="BK89" s="128">
        <v>79250.777</v>
      </c>
      <c r="BL89" s="128">
        <v>76079.551</v>
      </c>
      <c r="BM89" s="128">
        <v>48269.838</v>
      </c>
      <c r="BN89" s="128">
        <v>38571.259</v>
      </c>
      <c r="BO89" s="128">
        <v>45869.78</v>
      </c>
      <c r="BP89" s="128">
        <v>79248.13</v>
      </c>
      <c r="BQ89" s="128">
        <v>152331.891</v>
      </c>
      <c r="BR89" s="128">
        <v>148757.913</v>
      </c>
      <c r="BS89" s="128">
        <v>130045.085</v>
      </c>
      <c r="BT89" s="128">
        <v>128906.326</v>
      </c>
      <c r="BU89" s="128">
        <v>58706.829</v>
      </c>
      <c r="BV89" s="128">
        <v>66244.715</v>
      </c>
      <c r="BW89" s="129">
        <v>1052282.094</v>
      </c>
      <c r="BX89" s="1"/>
      <c r="BY89" s="47"/>
      <c r="BZ89" s="47"/>
      <c r="CA89" s="47"/>
      <c r="CB89" s="47"/>
      <c r="CC89" s="47"/>
      <c r="CD89" s="47"/>
      <c r="CE89" s="47"/>
      <c r="CF89" s="47"/>
      <c r="CG89" s="47"/>
      <c r="CH89" s="47"/>
      <c r="CI89" s="47"/>
      <c r="CJ89" s="47"/>
      <c r="CK89" s="65"/>
      <c r="CL89" s="47"/>
      <c r="CM89" s="47"/>
      <c r="CN89" s="47"/>
      <c r="CO89" s="47"/>
      <c r="CP89" s="47"/>
      <c r="CQ89" s="47"/>
      <c r="CR89" s="47"/>
      <c r="CS89" s="47"/>
      <c r="CT89" s="47"/>
      <c r="CU89" s="47"/>
      <c r="CV89" s="47"/>
      <c r="CW89" s="47"/>
      <c r="CX89" s="47"/>
      <c r="CY89" s="65"/>
      <c r="CZ89" s="11"/>
      <c r="DA89" s="47">
        <f>BK89</f>
        <v>79250.777</v>
      </c>
      <c r="DB89" s="47"/>
      <c r="DC89" s="47"/>
      <c r="DD89" s="47"/>
      <c r="DE89" s="47"/>
      <c r="DF89" s="47"/>
      <c r="DG89" s="47"/>
      <c r="DH89" s="47"/>
      <c r="DI89" s="47"/>
      <c r="DJ89" s="47"/>
      <c r="DK89" s="47"/>
      <c r="DL89" s="47"/>
      <c r="DM89" s="65">
        <f>SUM(DA89:DL89)</f>
        <v>79250.777</v>
      </c>
      <c r="DN89" s="1"/>
      <c r="DO89" s="130"/>
      <c r="DP89" s="130"/>
      <c r="DQ89" s="131"/>
    </row>
    <row r="90">
      <c r="A90" s="143"/>
      <c r="B90" s="164" t="s">
        <v>98</v>
      </c>
      <c r="C90" s="165"/>
      <c r="D90" s="166">
        <f t="shared" ref="D90:G90" si="535">IFERROR(D89/D111,0)</f>
        <v>0</v>
      </c>
      <c r="E90" s="166">
        <f t="shared" si="535"/>
        <v>0</v>
      </c>
      <c r="F90" s="166">
        <f t="shared" si="535"/>
        <v>0.2129700665</v>
      </c>
      <c r="G90" s="166">
        <f t="shared" si="535"/>
        <v>0</v>
      </c>
      <c r="H90" s="79"/>
      <c r="I90" s="79"/>
      <c r="J90" s="79"/>
      <c r="K90" s="79"/>
      <c r="L90" s="79"/>
      <c r="M90" s="79"/>
      <c r="N90" s="79"/>
      <c r="O90" s="79"/>
      <c r="P90" s="166">
        <f t="shared" ref="P90:R90" si="536">IFERROR(P89/P111,0)</f>
        <v>0</v>
      </c>
      <c r="Q90" s="166">
        <f t="shared" si="536"/>
        <v>0.2113896394</v>
      </c>
      <c r="R90" s="166">
        <f t="shared" si="536"/>
        <v>0</v>
      </c>
      <c r="S90" s="79"/>
      <c r="T90" s="79"/>
      <c r="U90" s="79"/>
      <c r="V90" s="79"/>
      <c r="W90" s="79"/>
      <c r="X90" s="79"/>
      <c r="Y90" s="166">
        <f t="shared" ref="Y90:AB90" si="537">IFERROR(Y89/Y111,0)</f>
        <v>0.1856439767</v>
      </c>
      <c r="Z90" s="166">
        <f t="shared" si="537"/>
        <v>0.1913326838</v>
      </c>
      <c r="AA90" s="166">
        <f t="shared" si="537"/>
        <v>0.1978861779</v>
      </c>
      <c r="AB90" s="166">
        <f t="shared" si="537"/>
        <v>0</v>
      </c>
      <c r="AC90" s="79"/>
      <c r="AD90" s="79"/>
      <c r="AE90" s="79"/>
      <c r="AF90" s="79"/>
      <c r="AG90" s="79"/>
      <c r="AH90" s="145"/>
      <c r="AI90" s="166">
        <f t="shared" ref="AI90:AU90" si="538">IFERROR(AI89/AI111,0)</f>
        <v>0</v>
      </c>
      <c r="AJ90" s="166">
        <f t="shared" si="538"/>
        <v>0</v>
      </c>
      <c r="AK90" s="166">
        <f t="shared" si="538"/>
        <v>0</v>
      </c>
      <c r="AL90" s="166">
        <f t="shared" si="538"/>
        <v>0</v>
      </c>
      <c r="AM90" s="166">
        <f t="shared" si="538"/>
        <v>0</v>
      </c>
      <c r="AN90" s="166">
        <f t="shared" si="538"/>
        <v>0</v>
      </c>
      <c r="AO90" s="166">
        <f t="shared" si="538"/>
        <v>0</v>
      </c>
      <c r="AP90" s="166">
        <f t="shared" si="538"/>
        <v>0</v>
      </c>
      <c r="AQ90" s="166">
        <f t="shared" si="538"/>
        <v>0</v>
      </c>
      <c r="AR90" s="166">
        <f t="shared" si="538"/>
        <v>0.1876015455</v>
      </c>
      <c r="AS90" s="166">
        <f t="shared" si="538"/>
        <v>0.1823973218</v>
      </c>
      <c r="AT90" s="166">
        <f t="shared" si="538"/>
        <v>0.1848067008</v>
      </c>
      <c r="AU90" s="166">
        <f t="shared" si="538"/>
        <v>0.1856439767</v>
      </c>
      <c r="AV90" s="127"/>
      <c r="AW90" s="166">
        <f t="shared" ref="AW90:BI90" si="539">IFERROR(AW89/AW111,0)</f>
        <v>0</v>
      </c>
      <c r="AX90" s="166">
        <f t="shared" si="539"/>
        <v>0</v>
      </c>
      <c r="AY90" s="166">
        <f t="shared" si="539"/>
        <v>0</v>
      </c>
      <c r="AZ90" s="166">
        <f t="shared" si="539"/>
        <v>0</v>
      </c>
      <c r="BA90" s="166">
        <f t="shared" si="539"/>
        <v>0</v>
      </c>
      <c r="BB90" s="166">
        <f t="shared" si="539"/>
        <v>0</v>
      </c>
      <c r="BC90" s="166">
        <f t="shared" si="539"/>
        <v>0.1983644745</v>
      </c>
      <c r="BD90" s="166">
        <f t="shared" si="539"/>
        <v>0.1912809308</v>
      </c>
      <c r="BE90" s="166">
        <f t="shared" si="539"/>
        <v>0.1949595503</v>
      </c>
      <c r="BF90" s="166">
        <f t="shared" si="539"/>
        <v>0.1876015455</v>
      </c>
      <c r="BG90" s="166">
        <f t="shared" si="539"/>
        <v>0.1823973218</v>
      </c>
      <c r="BH90" s="166">
        <f t="shared" si="539"/>
        <v>0.1848067008</v>
      </c>
      <c r="BI90" s="166">
        <f t="shared" si="539"/>
        <v>0.1913326838</v>
      </c>
      <c r="BJ90" s="145"/>
      <c r="BK90" s="167">
        <v>0.2363</v>
      </c>
      <c r="BL90" s="167">
        <v>0.2377</v>
      </c>
      <c r="BM90" s="167">
        <v>0.2364</v>
      </c>
      <c r="BN90" s="167">
        <v>0.2385</v>
      </c>
      <c r="BO90" s="167">
        <v>0.2316</v>
      </c>
      <c r="BP90" s="167">
        <v>0.2377</v>
      </c>
      <c r="BQ90" s="167">
        <v>0.2318</v>
      </c>
      <c r="BR90" s="167">
        <v>0.2295</v>
      </c>
      <c r="BS90" s="167">
        <v>0.2279</v>
      </c>
      <c r="BT90" s="167">
        <v>0.2287</v>
      </c>
      <c r="BU90" s="167">
        <v>0.2257</v>
      </c>
      <c r="BV90" s="167">
        <v>0.2273</v>
      </c>
      <c r="BW90" s="167">
        <v>0.1979</v>
      </c>
      <c r="BX90" s="90"/>
      <c r="BY90" s="166"/>
      <c r="BZ90" s="166"/>
      <c r="CA90" s="166"/>
      <c r="CB90" s="166"/>
      <c r="CC90" s="166"/>
      <c r="CD90" s="166"/>
      <c r="CE90" s="166"/>
      <c r="CF90" s="166"/>
      <c r="CG90" s="166"/>
      <c r="CH90" s="166"/>
      <c r="CI90" s="166"/>
      <c r="CJ90" s="166"/>
      <c r="CK90" s="166"/>
      <c r="CL90" s="168"/>
      <c r="CM90" s="166"/>
      <c r="CN90" s="166"/>
      <c r="CO90" s="166"/>
      <c r="CP90" s="166"/>
      <c r="CQ90" s="166"/>
      <c r="CR90" s="166"/>
      <c r="CS90" s="166"/>
      <c r="CT90" s="166"/>
      <c r="CU90" s="166"/>
      <c r="CV90" s="166"/>
      <c r="CW90" s="166"/>
      <c r="CX90" s="166"/>
      <c r="CY90" s="166"/>
      <c r="CZ90" s="148"/>
      <c r="DA90" s="166">
        <f>IFERROR(DA89/DA111,0)</f>
        <v>0.2120952595</v>
      </c>
      <c r="DB90" s="166"/>
      <c r="DC90" s="166"/>
      <c r="DD90" s="166"/>
      <c r="DE90" s="166"/>
      <c r="DF90" s="166"/>
      <c r="DG90" s="166"/>
      <c r="DH90" s="166"/>
      <c r="DI90" s="166"/>
      <c r="DJ90" s="166"/>
      <c r="DK90" s="166"/>
      <c r="DL90" s="166"/>
      <c r="DM90" s="166">
        <f>IFERROR(DM89/DM111,0)</f>
        <v>0.2120952595</v>
      </c>
      <c r="DN90" s="90"/>
      <c r="DO90" s="169"/>
      <c r="DP90" s="169"/>
      <c r="DQ90" s="170"/>
    </row>
    <row r="91">
      <c r="A91" s="15"/>
      <c r="B91" s="124"/>
      <c r="C91" s="124"/>
      <c r="D91" s="125"/>
      <c r="E91" s="125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6"/>
      <c r="AI91" s="171">
        <f t="shared" ref="AI91:AU91" si="540">IFERROR(AI89/AI87,0)</f>
        <v>0</v>
      </c>
      <c r="AJ91" s="171">
        <f t="shared" si="540"/>
        <v>0</v>
      </c>
      <c r="AK91" s="171">
        <f t="shared" si="540"/>
        <v>0</v>
      </c>
      <c r="AL91" s="171">
        <f t="shared" si="540"/>
        <v>0</v>
      </c>
      <c r="AM91" s="171">
        <f t="shared" si="540"/>
        <v>0</v>
      </c>
      <c r="AN91" s="171">
        <f t="shared" si="540"/>
        <v>0</v>
      </c>
      <c r="AO91" s="171">
        <f t="shared" si="540"/>
        <v>0</v>
      </c>
      <c r="AP91" s="171">
        <f t="shared" si="540"/>
        <v>0</v>
      </c>
      <c r="AQ91" s="171">
        <f t="shared" si="540"/>
        <v>0</v>
      </c>
      <c r="AR91" s="171">
        <f t="shared" si="540"/>
        <v>0.1579667221</v>
      </c>
      <c r="AS91" s="171">
        <f t="shared" si="540"/>
        <v>0.1542604289</v>
      </c>
      <c r="AT91" s="171">
        <f t="shared" si="540"/>
        <v>0.1559802977</v>
      </c>
      <c r="AU91" s="171">
        <f t="shared" si="540"/>
        <v>0.1565763992</v>
      </c>
      <c r="AV91" s="127"/>
      <c r="AW91" s="171">
        <f t="shared" ref="AW91:BI91" si="541">IFERROR(AW89/AW87,0)</f>
        <v>0</v>
      </c>
      <c r="AX91" s="171">
        <f t="shared" si="541"/>
        <v>0</v>
      </c>
      <c r="AY91" s="171">
        <f t="shared" si="541"/>
        <v>0</v>
      </c>
      <c r="AZ91" s="171">
        <f t="shared" si="541"/>
        <v>0</v>
      </c>
      <c r="BA91" s="171">
        <f t="shared" si="541"/>
        <v>0</v>
      </c>
      <c r="BB91" s="171">
        <f t="shared" si="541"/>
        <v>0</v>
      </c>
      <c r="BC91" s="171">
        <f t="shared" si="541"/>
        <v>0.1655293289</v>
      </c>
      <c r="BD91" s="171">
        <f t="shared" si="541"/>
        <v>0.1605674383</v>
      </c>
      <c r="BE91" s="171">
        <f t="shared" si="541"/>
        <v>0.1631515936</v>
      </c>
      <c r="BF91" s="171">
        <f t="shared" si="541"/>
        <v>0.1579667221</v>
      </c>
      <c r="BG91" s="171">
        <f t="shared" si="541"/>
        <v>0.1542604289</v>
      </c>
      <c r="BH91" s="171">
        <f t="shared" si="541"/>
        <v>0.1559802977</v>
      </c>
      <c r="BI91" s="171">
        <f t="shared" si="541"/>
        <v>0.1606038692</v>
      </c>
      <c r="BJ91" s="126"/>
      <c r="BK91" s="171"/>
      <c r="BL91" s="171"/>
      <c r="BM91" s="171"/>
      <c r="BN91" s="171"/>
      <c r="BO91" s="171"/>
      <c r="BP91" s="171"/>
      <c r="BQ91" s="171"/>
      <c r="BR91" s="171"/>
      <c r="BS91" s="171"/>
      <c r="BT91" s="171"/>
      <c r="BU91" s="171"/>
      <c r="BV91" s="171"/>
      <c r="BW91" s="171"/>
      <c r="BX91" s="1"/>
      <c r="BY91" s="171"/>
      <c r="BZ91" s="171"/>
      <c r="CA91" s="171"/>
      <c r="CB91" s="171"/>
      <c r="CC91" s="171"/>
      <c r="CD91" s="171"/>
      <c r="CE91" s="171"/>
      <c r="CF91" s="171"/>
      <c r="CG91" s="171"/>
      <c r="CH91" s="171"/>
      <c r="CI91" s="171"/>
      <c r="CJ91" s="171"/>
      <c r="CK91" s="171"/>
      <c r="CL91" s="47"/>
      <c r="CM91" s="171"/>
      <c r="CN91" s="171"/>
      <c r="CO91" s="171"/>
      <c r="CP91" s="171"/>
      <c r="CQ91" s="171"/>
      <c r="CR91" s="171"/>
      <c r="CS91" s="171"/>
      <c r="CT91" s="171"/>
      <c r="CU91" s="171"/>
      <c r="CV91" s="171"/>
      <c r="CW91" s="171"/>
      <c r="CX91" s="171"/>
      <c r="CY91" s="171"/>
      <c r="CZ91" s="11"/>
      <c r="DA91" s="171">
        <f>IFERROR(DA89/DA87,0)</f>
        <v>0.1749824239</v>
      </c>
      <c r="DB91" s="171"/>
      <c r="DC91" s="171"/>
      <c r="DD91" s="171"/>
      <c r="DE91" s="171"/>
      <c r="DF91" s="171"/>
      <c r="DG91" s="171"/>
      <c r="DH91" s="171"/>
      <c r="DI91" s="171"/>
      <c r="DJ91" s="171"/>
      <c r="DK91" s="171"/>
      <c r="DL91" s="171"/>
      <c r="DM91" s="171">
        <f>IFERROR(DM89/DM87,0)</f>
        <v>0.1749824239</v>
      </c>
      <c r="DN91" s="1"/>
      <c r="DO91" s="150"/>
      <c r="DP91" s="150"/>
      <c r="DQ91" s="131"/>
    </row>
    <row r="92">
      <c r="A92" s="151">
        <v>2.3</v>
      </c>
      <c r="B92" s="152" t="s">
        <v>99</v>
      </c>
      <c r="C92" s="124"/>
      <c r="D92" s="125"/>
      <c r="E92" s="125"/>
      <c r="F92" s="125"/>
      <c r="G92" s="125"/>
      <c r="H92" s="125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34"/>
      <c r="AI92" s="171">
        <f t="shared" ref="AI92:AU92" si="542">IFERROR(AI135/AI83,0)</f>
        <v>0</v>
      </c>
      <c r="AJ92" s="171">
        <f t="shared" si="542"/>
        <v>0</v>
      </c>
      <c r="AK92" s="171">
        <f t="shared" si="542"/>
        <v>0</v>
      </c>
      <c r="AL92" s="171">
        <f t="shared" si="542"/>
        <v>0</v>
      </c>
      <c r="AM92" s="171">
        <f t="shared" si="542"/>
        <v>0</v>
      </c>
      <c r="AN92" s="171">
        <f t="shared" si="542"/>
        <v>0</v>
      </c>
      <c r="AO92" s="171">
        <f t="shared" si="542"/>
        <v>0</v>
      </c>
      <c r="AP92" s="171">
        <f t="shared" si="542"/>
        <v>0</v>
      </c>
      <c r="AQ92" s="171">
        <f t="shared" si="542"/>
        <v>0</v>
      </c>
      <c r="AR92" s="171">
        <f t="shared" si="542"/>
        <v>0.05920088477</v>
      </c>
      <c r="AS92" s="171">
        <f t="shared" si="542"/>
        <v>0.07175885311</v>
      </c>
      <c r="AT92" s="171">
        <f t="shared" si="542"/>
        <v>0.07483514465</v>
      </c>
      <c r="AU92" s="171">
        <f t="shared" si="542"/>
        <v>0.06612559218</v>
      </c>
      <c r="AV92" s="127"/>
      <c r="AW92" s="171">
        <f t="shared" ref="AW92:BI92" si="543">IFERROR(AW135/AW83,0)</f>
        <v>0</v>
      </c>
      <c r="AX92" s="171">
        <f t="shared" si="543"/>
        <v>0</v>
      </c>
      <c r="AY92" s="171">
        <f t="shared" si="543"/>
        <v>0</v>
      </c>
      <c r="AZ92" s="171">
        <f t="shared" si="543"/>
        <v>0</v>
      </c>
      <c r="BA92" s="171">
        <f t="shared" si="543"/>
        <v>0</v>
      </c>
      <c r="BB92" s="171">
        <f t="shared" si="543"/>
        <v>0</v>
      </c>
      <c r="BC92" s="171">
        <f t="shared" si="543"/>
        <v>0.05722410108</v>
      </c>
      <c r="BD92" s="171">
        <f t="shared" si="543"/>
        <v>0.05428155236</v>
      </c>
      <c r="BE92" s="171">
        <f t="shared" si="543"/>
        <v>0.06013103724</v>
      </c>
      <c r="BF92" s="171">
        <f t="shared" si="543"/>
        <v>0.05920088477</v>
      </c>
      <c r="BG92" s="171">
        <f t="shared" si="543"/>
        <v>0.07175885311</v>
      </c>
      <c r="BH92" s="171">
        <f t="shared" si="543"/>
        <v>0.07483514465</v>
      </c>
      <c r="BI92" s="171">
        <f t="shared" si="543"/>
        <v>0.06048781166</v>
      </c>
      <c r="BJ92" s="134"/>
      <c r="BK92" s="171"/>
      <c r="BL92" s="171"/>
      <c r="BM92" s="171"/>
      <c r="BN92" s="171"/>
      <c r="BO92" s="171"/>
      <c r="BP92" s="171"/>
      <c r="BQ92" s="171"/>
      <c r="BR92" s="171"/>
      <c r="BS92" s="171"/>
      <c r="BT92" s="171"/>
      <c r="BU92" s="171"/>
      <c r="BV92" s="171"/>
      <c r="BW92" s="171"/>
      <c r="BX92" s="1"/>
      <c r="BY92" s="171"/>
      <c r="BZ92" s="171"/>
      <c r="CA92" s="171"/>
      <c r="CB92" s="171"/>
      <c r="CC92" s="171"/>
      <c r="CD92" s="171"/>
      <c r="CE92" s="171"/>
      <c r="CF92" s="171"/>
      <c r="CG92" s="171"/>
      <c r="CH92" s="171"/>
      <c r="CI92" s="171"/>
      <c r="CJ92" s="171"/>
      <c r="CK92" s="171"/>
      <c r="CL92" s="47"/>
      <c r="CM92" s="171"/>
      <c r="CN92" s="171"/>
      <c r="CO92" s="171"/>
      <c r="CP92" s="171"/>
      <c r="CQ92" s="171"/>
      <c r="CR92" s="171"/>
      <c r="CS92" s="171"/>
      <c r="CT92" s="171"/>
      <c r="CU92" s="171"/>
      <c r="CV92" s="171"/>
      <c r="CW92" s="171"/>
      <c r="CX92" s="171"/>
      <c r="CY92" s="171"/>
      <c r="CZ92" s="11"/>
      <c r="DA92" s="171">
        <f>IFERROR(DA135/DA83,0)</f>
        <v>0.07409452942</v>
      </c>
      <c r="DB92" s="171"/>
      <c r="DC92" s="171"/>
      <c r="DD92" s="171"/>
      <c r="DE92" s="171"/>
      <c r="DF92" s="171"/>
      <c r="DG92" s="171"/>
      <c r="DH92" s="171"/>
      <c r="DI92" s="171"/>
      <c r="DJ92" s="171"/>
      <c r="DK92" s="171"/>
      <c r="DL92" s="171"/>
      <c r="DM92" s="171">
        <f>IFERROR(DM135/DM83,0)</f>
        <v>0.07409452942</v>
      </c>
      <c r="DN92" s="1"/>
      <c r="DO92" s="150"/>
      <c r="DP92" s="150"/>
      <c r="DQ92" s="131"/>
    </row>
    <row r="93" outlineLevel="3">
      <c r="A93" s="154"/>
      <c r="B93" s="123" t="s">
        <v>100</v>
      </c>
      <c r="C93" s="124"/>
      <c r="D93" s="47">
        <f t="shared" ref="D93:D97" si="546">SUMIFS($CM93:$CX93,$CM$35:$CX$35,$D$2)</f>
        <v>0</v>
      </c>
      <c r="E93" s="47">
        <f t="shared" ref="E93:E97" si="547">SUMIFS($DA93:$DM93,$DA$35:$DM$35,$D$2)</f>
        <v>0</v>
      </c>
      <c r="F93" s="47">
        <f t="shared" ref="F93:F97" si="548">SUMIFS($BK93:$BV93,$BK$35:$BV$35,$D$2)</f>
        <v>233590</v>
      </c>
      <c r="G93" s="47">
        <f t="shared" ref="G93:G97" si="549">SUMIFS($BY93:$CJ93,$BY$35:$CJ$35,$D$2)</f>
        <v>0</v>
      </c>
      <c r="H93" s="48"/>
      <c r="I93" s="66">
        <f t="shared" ref="I93:I111" si="550">D93-E93</f>
        <v>0</v>
      </c>
      <c r="J93" s="67">
        <f t="shared" ref="J93:J111" si="551">IFERROR(I93/(E93),0)</f>
        <v>0</v>
      </c>
      <c r="K93" s="66">
        <f t="shared" ref="K93:K111" si="552">D93-F93</f>
        <v>-233590</v>
      </c>
      <c r="L93" s="67">
        <f t="shared" ref="L93:L111" si="553">IFERROR(K93/(F93),0)</f>
        <v>-1</v>
      </c>
      <c r="M93" s="66">
        <f t="shared" ref="M93:M111" si="554">D93-G93</f>
        <v>0</v>
      </c>
      <c r="N93" s="67">
        <f t="shared" ref="N93:N111" si="555">IFERROR(M93/G93,0)</f>
        <v>0</v>
      </c>
      <c r="O93" s="48"/>
      <c r="P93" s="47">
        <f t="shared" ref="P93:P97" si="556">SUMIFS($CM93:$CX93,$CM$35:$CX$35,$P$2)</f>
        <v>0</v>
      </c>
      <c r="Q93" s="47">
        <f t="shared" ref="Q93:Q97" si="557">SUMIFS($BK93:$BV93,$BK$35:$BV$35,$P$2)</f>
        <v>1119962</v>
      </c>
      <c r="R93" s="47">
        <f t="shared" ref="R93:R97" si="558">SUMIFS($BY93:$CJ93,$BY$35:$CJ$35,$P$2)</f>
        <v>0</v>
      </c>
      <c r="S93" s="48"/>
      <c r="T93" s="66">
        <f t="shared" ref="T93:T111" si="559">P93-Q93</f>
        <v>-1119962</v>
      </c>
      <c r="U93" s="67">
        <f t="shared" ref="U93:U111" si="560">IFERROR(T93/Q93,0)</f>
        <v>-1</v>
      </c>
      <c r="V93" s="66">
        <f t="shared" ref="V93:V111" si="561">P93-R93</f>
        <v>0</v>
      </c>
      <c r="W93" s="67">
        <f t="shared" ref="W93:W111" si="562">IFERROR(V93/R93,0)</f>
        <v>0</v>
      </c>
      <c r="X93" s="48"/>
      <c r="Y93" s="47">
        <f t="shared" ref="Y93:Y97" si="563">$AU93</f>
        <v>940015</v>
      </c>
      <c r="Z93" s="47">
        <f t="shared" ref="Z93:Z97" si="564">$BI93</f>
        <v>2346409</v>
      </c>
      <c r="AA93" s="47">
        <f t="shared" ref="AA93:AA97" si="565">$BW93</f>
        <v>3466371</v>
      </c>
      <c r="AB93" s="95" t="str">
        <f t="shared" ref="AB93:AB97" si="566">$CK93</f>
        <v/>
      </c>
      <c r="AC93" s="125"/>
      <c r="AD93" s="66">
        <f t="shared" ref="AD93:AD111" si="567">Y93-AA93</f>
        <v>-2526356</v>
      </c>
      <c r="AE93" s="67">
        <f t="shared" ref="AE93:AE111" si="568">IFERROR(AD93/AA93,0)</f>
        <v>-0.7288186983</v>
      </c>
      <c r="AF93" s="66">
        <f t="shared" ref="AF93:AF111" si="569">Y93-AB93</f>
        <v>940015</v>
      </c>
      <c r="AG93" s="67">
        <f t="shared" ref="AG93:AG111" si="570">IFERROR(AF93/AB93,0)</f>
        <v>0</v>
      </c>
      <c r="AH93" s="126"/>
      <c r="AI93" s="47" t="str">
        <f t="shared" ref="AI93:AI97" si="571">IFERROR(IF(AI$3="A",CM93,IF(AI$3="F",DA93)),0)</f>
        <v/>
      </c>
      <c r="AJ93" s="47" t="str">
        <f t="shared" ref="AJ93:AT93" si="544">IFERROR(IF(AJ$3="A",CN93,IF(AJ$3="F",DB93,IF(AJ$3="B",BL93,0))),"")</f>
        <v/>
      </c>
      <c r="AK93" s="47" t="str">
        <f t="shared" si="544"/>
        <v/>
      </c>
      <c r="AL93" s="47" t="str">
        <f t="shared" si="544"/>
        <v/>
      </c>
      <c r="AM93" s="47" t="str">
        <f t="shared" si="544"/>
        <v/>
      </c>
      <c r="AN93" s="47" t="str">
        <f t="shared" si="544"/>
        <v/>
      </c>
      <c r="AO93" s="47" t="str">
        <f t="shared" si="544"/>
        <v/>
      </c>
      <c r="AP93" s="47" t="str">
        <f t="shared" si="544"/>
        <v/>
      </c>
      <c r="AQ93" s="47" t="str">
        <f t="shared" si="544"/>
        <v/>
      </c>
      <c r="AR93" s="47">
        <f t="shared" si="544"/>
        <v>469925</v>
      </c>
      <c r="AS93" s="47">
        <f t="shared" si="544"/>
        <v>215352</v>
      </c>
      <c r="AT93" s="47">
        <f t="shared" si="544"/>
        <v>254738</v>
      </c>
      <c r="AU93" s="65">
        <f t="shared" ref="AU93:AU97" si="573">SUM(AI93:AT93)</f>
        <v>940015</v>
      </c>
      <c r="AV93" s="127"/>
      <c r="AW93" s="47" t="str">
        <f t="shared" ref="AW93:BH93" si="545">IFERROR(IF(AW$3="A",CM93,IF(AW$3="B",BK93)),0)</f>
        <v/>
      </c>
      <c r="AX93" s="47" t="str">
        <f t="shared" si="545"/>
        <v/>
      </c>
      <c r="AY93" s="47" t="str">
        <f t="shared" si="545"/>
        <v/>
      </c>
      <c r="AZ93" s="47" t="str">
        <f t="shared" si="545"/>
        <v/>
      </c>
      <c r="BA93" s="47" t="str">
        <f t="shared" si="545"/>
        <v/>
      </c>
      <c r="BB93" s="47" t="str">
        <f t="shared" si="545"/>
        <v/>
      </c>
      <c r="BC93" s="47">
        <f t="shared" si="545"/>
        <v>476584</v>
      </c>
      <c r="BD93" s="47">
        <f t="shared" si="545"/>
        <v>517726</v>
      </c>
      <c r="BE93" s="47">
        <f t="shared" si="545"/>
        <v>412084</v>
      </c>
      <c r="BF93" s="47">
        <f t="shared" si="545"/>
        <v>469925</v>
      </c>
      <c r="BG93" s="47">
        <f t="shared" si="545"/>
        <v>215352</v>
      </c>
      <c r="BH93" s="47">
        <f t="shared" si="545"/>
        <v>254738</v>
      </c>
      <c r="BI93" s="65">
        <f t="shared" ref="BI93:BI97" si="575">SUM(AW93:BH93)</f>
        <v>2346409</v>
      </c>
      <c r="BJ93" s="126"/>
      <c r="BK93" s="128">
        <v>243946.0</v>
      </c>
      <c r="BL93" s="128">
        <v>228397.0</v>
      </c>
      <c r="BM93" s="128">
        <v>156803.0</v>
      </c>
      <c r="BN93" s="128">
        <v>105446.0</v>
      </c>
      <c r="BO93" s="128">
        <v>151780.0</v>
      </c>
      <c r="BP93" s="128">
        <v>233590.0</v>
      </c>
      <c r="BQ93" s="128">
        <v>476584.0</v>
      </c>
      <c r="BR93" s="128">
        <v>517726.0</v>
      </c>
      <c r="BS93" s="128">
        <v>412084.0</v>
      </c>
      <c r="BT93" s="128">
        <v>469925.0</v>
      </c>
      <c r="BU93" s="128">
        <v>215352.0</v>
      </c>
      <c r="BV93" s="128">
        <v>254738.0</v>
      </c>
      <c r="BW93" s="129">
        <v>3466371.0</v>
      </c>
      <c r="BX93" s="1"/>
      <c r="BY93" s="47"/>
      <c r="BZ93" s="47"/>
      <c r="CA93" s="47"/>
      <c r="CB93" s="47"/>
      <c r="CC93" s="47"/>
      <c r="CD93" s="47"/>
      <c r="CE93" s="47"/>
      <c r="CF93" s="47"/>
      <c r="CG93" s="47"/>
      <c r="CH93" s="47"/>
      <c r="CI93" s="47"/>
      <c r="CJ93" s="47"/>
      <c r="CK93" s="65"/>
      <c r="CL93" s="47"/>
      <c r="CM93" s="47"/>
      <c r="CN93" s="47"/>
      <c r="CO93" s="47"/>
      <c r="CP93" s="47"/>
      <c r="CQ93" s="47"/>
      <c r="CR93" s="47"/>
      <c r="CS93" s="47"/>
      <c r="CT93" s="47"/>
      <c r="CU93" s="47"/>
      <c r="CV93" s="47"/>
      <c r="CW93" s="47"/>
      <c r="CX93" s="47"/>
      <c r="CY93" s="65"/>
      <c r="CZ93" s="11"/>
      <c r="DA93" s="47">
        <f t="shared" ref="DA93:DA97" si="576">BK93</f>
        <v>243946</v>
      </c>
      <c r="DB93" s="47"/>
      <c r="DC93" s="47"/>
      <c r="DD93" s="47"/>
      <c r="DE93" s="47"/>
      <c r="DF93" s="47"/>
      <c r="DG93" s="47"/>
      <c r="DH93" s="47"/>
      <c r="DI93" s="47"/>
      <c r="DJ93" s="47"/>
      <c r="DK93" s="47"/>
      <c r="DL93" s="47"/>
      <c r="DM93" s="65">
        <f t="shared" ref="DM93:DM97" si="577">SUM(DA93:DL93)</f>
        <v>243946</v>
      </c>
      <c r="DN93" s="1"/>
      <c r="DO93" s="130"/>
      <c r="DP93" s="130"/>
      <c r="DQ93" s="131"/>
    </row>
    <row r="94" outlineLevel="3">
      <c r="A94" s="154"/>
      <c r="B94" s="123" t="s">
        <v>101</v>
      </c>
      <c r="C94" s="124"/>
      <c r="D94" s="47">
        <f t="shared" si="546"/>
        <v>0</v>
      </c>
      <c r="E94" s="47">
        <f t="shared" si="547"/>
        <v>0</v>
      </c>
      <c r="F94" s="47">
        <f t="shared" si="548"/>
        <v>67851</v>
      </c>
      <c r="G94" s="47">
        <f t="shared" si="549"/>
        <v>0</v>
      </c>
      <c r="H94" s="48"/>
      <c r="I94" s="66">
        <f t="shared" si="550"/>
        <v>0</v>
      </c>
      <c r="J94" s="67">
        <f t="shared" si="551"/>
        <v>0</v>
      </c>
      <c r="K94" s="66">
        <f t="shared" si="552"/>
        <v>-67851</v>
      </c>
      <c r="L94" s="67">
        <f t="shared" si="553"/>
        <v>-1</v>
      </c>
      <c r="M94" s="66">
        <f t="shared" si="554"/>
        <v>0</v>
      </c>
      <c r="N94" s="67">
        <f t="shared" si="555"/>
        <v>0</v>
      </c>
      <c r="O94" s="48"/>
      <c r="P94" s="47">
        <f t="shared" si="556"/>
        <v>0</v>
      </c>
      <c r="Q94" s="47">
        <f t="shared" si="557"/>
        <v>266224</v>
      </c>
      <c r="R94" s="47">
        <f t="shared" si="558"/>
        <v>0</v>
      </c>
      <c r="S94" s="48"/>
      <c r="T94" s="66">
        <f t="shared" si="559"/>
        <v>-266224</v>
      </c>
      <c r="U94" s="67">
        <f t="shared" si="560"/>
        <v>-1</v>
      </c>
      <c r="V94" s="66">
        <f t="shared" si="561"/>
        <v>0</v>
      </c>
      <c r="W94" s="67">
        <f t="shared" si="562"/>
        <v>0</v>
      </c>
      <c r="X94" s="48"/>
      <c r="Y94" s="47">
        <f t="shared" si="563"/>
        <v>46022</v>
      </c>
      <c r="Z94" s="47">
        <f t="shared" si="564"/>
        <v>276680</v>
      </c>
      <c r="AA94" s="47">
        <f t="shared" si="565"/>
        <v>542904</v>
      </c>
      <c r="AB94" s="95" t="str">
        <f t="shared" si="566"/>
        <v/>
      </c>
      <c r="AC94" s="125"/>
      <c r="AD94" s="66">
        <f t="shared" si="567"/>
        <v>-496882</v>
      </c>
      <c r="AE94" s="67">
        <f t="shared" si="568"/>
        <v>-0.9152299486</v>
      </c>
      <c r="AF94" s="66">
        <f t="shared" si="569"/>
        <v>46022</v>
      </c>
      <c r="AG94" s="67">
        <f t="shared" si="570"/>
        <v>0</v>
      </c>
      <c r="AH94" s="126"/>
      <c r="AI94" s="47" t="str">
        <f t="shared" si="571"/>
        <v/>
      </c>
      <c r="AJ94" s="47" t="str">
        <f t="shared" ref="AJ94:AT94" si="572">IFERROR(IF(AJ$3="A",CN94,IF(AJ$3="F",DB94,IF(AJ$3="B",BL94,0))),"")</f>
        <v/>
      </c>
      <c r="AK94" s="47" t="str">
        <f t="shared" si="572"/>
        <v/>
      </c>
      <c r="AL94" s="47" t="str">
        <f t="shared" si="572"/>
        <v/>
      </c>
      <c r="AM94" s="47" t="str">
        <f t="shared" si="572"/>
        <v/>
      </c>
      <c r="AN94" s="47" t="str">
        <f t="shared" si="572"/>
        <v/>
      </c>
      <c r="AO94" s="47" t="str">
        <f t="shared" si="572"/>
        <v/>
      </c>
      <c r="AP94" s="47" t="str">
        <f t="shared" si="572"/>
        <v/>
      </c>
      <c r="AQ94" s="47" t="str">
        <f t="shared" si="572"/>
        <v/>
      </c>
      <c r="AR94" s="47">
        <f t="shared" si="572"/>
        <v>34795</v>
      </c>
      <c r="AS94" s="47">
        <f t="shared" si="572"/>
        <v>11227</v>
      </c>
      <c r="AT94" s="47">
        <f t="shared" si="572"/>
        <v>0</v>
      </c>
      <c r="AU94" s="65">
        <f t="shared" si="573"/>
        <v>46022</v>
      </c>
      <c r="AV94" s="127"/>
      <c r="AW94" s="47" t="str">
        <f t="shared" ref="AW94:BH94" si="574">IFERROR(IF(AW$3="A",CM94,IF(AW$3="B",BK94)),0)</f>
        <v/>
      </c>
      <c r="AX94" s="47" t="str">
        <f t="shared" si="574"/>
        <v/>
      </c>
      <c r="AY94" s="47" t="str">
        <f t="shared" si="574"/>
        <v/>
      </c>
      <c r="AZ94" s="47" t="str">
        <f t="shared" si="574"/>
        <v/>
      </c>
      <c r="BA94" s="47" t="str">
        <f t="shared" si="574"/>
        <v/>
      </c>
      <c r="BB94" s="47" t="str">
        <f t="shared" si="574"/>
        <v/>
      </c>
      <c r="BC94" s="47">
        <f t="shared" si="574"/>
        <v>97818</v>
      </c>
      <c r="BD94" s="47">
        <f t="shared" si="574"/>
        <v>47325</v>
      </c>
      <c r="BE94" s="47">
        <f t="shared" si="574"/>
        <v>85515</v>
      </c>
      <c r="BF94" s="47">
        <f t="shared" si="574"/>
        <v>34795</v>
      </c>
      <c r="BG94" s="47">
        <f t="shared" si="574"/>
        <v>11227</v>
      </c>
      <c r="BH94" s="47">
        <f t="shared" si="574"/>
        <v>0</v>
      </c>
      <c r="BI94" s="65">
        <f t="shared" si="575"/>
        <v>276680</v>
      </c>
      <c r="BJ94" s="126"/>
      <c r="BK94" s="128">
        <v>52004.0</v>
      </c>
      <c r="BL94" s="128">
        <v>60350.0</v>
      </c>
      <c r="BM94" s="128">
        <v>23330.0</v>
      </c>
      <c r="BN94" s="128">
        <v>38414.0</v>
      </c>
      <c r="BO94" s="128">
        <v>24275.0</v>
      </c>
      <c r="BP94" s="128">
        <v>67851.0</v>
      </c>
      <c r="BQ94" s="128">
        <v>97818.0</v>
      </c>
      <c r="BR94" s="128">
        <v>47325.0</v>
      </c>
      <c r="BS94" s="128">
        <v>85515.0</v>
      </c>
      <c r="BT94" s="128">
        <v>34795.0</v>
      </c>
      <c r="BU94" s="128">
        <v>11227.0</v>
      </c>
      <c r="BV94" s="128">
        <v>0.0</v>
      </c>
      <c r="BW94" s="129">
        <v>542904.0</v>
      </c>
      <c r="BX94" s="1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65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65"/>
      <c r="CZ94" s="11"/>
      <c r="DA94" s="47">
        <f t="shared" si="576"/>
        <v>52004</v>
      </c>
      <c r="DB94" s="47"/>
      <c r="DC94" s="47"/>
      <c r="DD94" s="47"/>
      <c r="DE94" s="47"/>
      <c r="DF94" s="47"/>
      <c r="DG94" s="47"/>
      <c r="DH94" s="47"/>
      <c r="DI94" s="47"/>
      <c r="DJ94" s="47"/>
      <c r="DK94" s="47"/>
      <c r="DL94" s="47"/>
      <c r="DM94" s="65">
        <f t="shared" si="577"/>
        <v>52004</v>
      </c>
      <c r="DN94" s="1"/>
      <c r="DO94" s="130"/>
      <c r="DP94" s="130"/>
      <c r="DQ94" s="131"/>
    </row>
    <row r="95" outlineLevel="3">
      <c r="A95" s="154"/>
      <c r="B95" s="123" t="s">
        <v>102</v>
      </c>
      <c r="C95" s="124"/>
      <c r="D95" s="47">
        <f t="shared" si="546"/>
        <v>0</v>
      </c>
      <c r="E95" s="47">
        <f t="shared" si="547"/>
        <v>0</v>
      </c>
      <c r="F95" s="47">
        <f t="shared" si="548"/>
        <v>0</v>
      </c>
      <c r="G95" s="47">
        <f t="shared" si="549"/>
        <v>0</v>
      </c>
      <c r="H95" s="48"/>
      <c r="I95" s="66">
        <f t="shared" si="550"/>
        <v>0</v>
      </c>
      <c r="J95" s="67">
        <f t="shared" si="551"/>
        <v>0</v>
      </c>
      <c r="K95" s="66">
        <f t="shared" si="552"/>
        <v>0</v>
      </c>
      <c r="L95" s="67">
        <f t="shared" si="553"/>
        <v>0</v>
      </c>
      <c r="M95" s="66">
        <f t="shared" si="554"/>
        <v>0</v>
      </c>
      <c r="N95" s="67">
        <f t="shared" si="555"/>
        <v>0</v>
      </c>
      <c r="O95" s="48"/>
      <c r="P95" s="47">
        <f t="shared" si="556"/>
        <v>0</v>
      </c>
      <c r="Q95" s="47">
        <f t="shared" si="557"/>
        <v>0</v>
      </c>
      <c r="R95" s="47">
        <f t="shared" si="558"/>
        <v>0</v>
      </c>
      <c r="S95" s="48"/>
      <c r="T95" s="66">
        <f t="shared" si="559"/>
        <v>0</v>
      </c>
      <c r="U95" s="67">
        <f t="shared" si="560"/>
        <v>0</v>
      </c>
      <c r="V95" s="66">
        <f t="shared" si="561"/>
        <v>0</v>
      </c>
      <c r="W95" s="67">
        <f t="shared" si="562"/>
        <v>0</v>
      </c>
      <c r="X95" s="48"/>
      <c r="Y95" s="47">
        <f t="shared" si="563"/>
        <v>0</v>
      </c>
      <c r="Z95" s="47">
        <f t="shared" si="564"/>
        <v>0</v>
      </c>
      <c r="AA95" s="47">
        <f t="shared" si="565"/>
        <v>0</v>
      </c>
      <c r="AB95" s="95" t="str">
        <f t="shared" si="566"/>
        <v/>
      </c>
      <c r="AC95" s="125"/>
      <c r="AD95" s="66">
        <f t="shared" si="567"/>
        <v>0</v>
      </c>
      <c r="AE95" s="67">
        <f t="shared" si="568"/>
        <v>0</v>
      </c>
      <c r="AF95" s="66">
        <f t="shared" si="569"/>
        <v>0</v>
      </c>
      <c r="AG95" s="67">
        <f t="shared" si="570"/>
        <v>0</v>
      </c>
      <c r="AH95" s="126"/>
      <c r="AI95" s="47" t="str">
        <f t="shared" si="571"/>
        <v/>
      </c>
      <c r="AJ95" s="47" t="str">
        <f t="shared" ref="AJ95:AT95" si="578">IFERROR(IF(AJ$3="A",CN95,IF(AJ$3="F",DB95,IF(AJ$3="B",BL95,0))),"")</f>
        <v/>
      </c>
      <c r="AK95" s="47" t="str">
        <f t="shared" si="578"/>
        <v/>
      </c>
      <c r="AL95" s="47" t="str">
        <f t="shared" si="578"/>
        <v/>
      </c>
      <c r="AM95" s="47" t="str">
        <f t="shared" si="578"/>
        <v/>
      </c>
      <c r="AN95" s="47" t="str">
        <f t="shared" si="578"/>
        <v/>
      </c>
      <c r="AO95" s="47" t="str">
        <f t="shared" si="578"/>
        <v/>
      </c>
      <c r="AP95" s="47" t="str">
        <f t="shared" si="578"/>
        <v/>
      </c>
      <c r="AQ95" s="47" t="str">
        <f t="shared" si="578"/>
        <v/>
      </c>
      <c r="AR95" s="47">
        <f t="shared" si="578"/>
        <v>0</v>
      </c>
      <c r="AS95" s="47">
        <f t="shared" si="578"/>
        <v>0</v>
      </c>
      <c r="AT95" s="47">
        <f t="shared" si="578"/>
        <v>0</v>
      </c>
      <c r="AU95" s="65">
        <f t="shared" si="573"/>
        <v>0</v>
      </c>
      <c r="AV95" s="127"/>
      <c r="AW95" s="47" t="str">
        <f t="shared" ref="AW95:BH95" si="579">IFERROR(IF(AW$3="A",CM95,IF(AW$3="B",BK95)),0)</f>
        <v/>
      </c>
      <c r="AX95" s="47" t="str">
        <f t="shared" si="579"/>
        <v/>
      </c>
      <c r="AY95" s="47" t="str">
        <f t="shared" si="579"/>
        <v/>
      </c>
      <c r="AZ95" s="47" t="str">
        <f t="shared" si="579"/>
        <v/>
      </c>
      <c r="BA95" s="47" t="str">
        <f t="shared" si="579"/>
        <v/>
      </c>
      <c r="BB95" s="47" t="str">
        <f t="shared" si="579"/>
        <v/>
      </c>
      <c r="BC95" s="47">
        <f t="shared" si="579"/>
        <v>0</v>
      </c>
      <c r="BD95" s="47">
        <f t="shared" si="579"/>
        <v>0</v>
      </c>
      <c r="BE95" s="47">
        <f t="shared" si="579"/>
        <v>0</v>
      </c>
      <c r="BF95" s="47">
        <f t="shared" si="579"/>
        <v>0</v>
      </c>
      <c r="BG95" s="47">
        <f t="shared" si="579"/>
        <v>0</v>
      </c>
      <c r="BH95" s="47">
        <f t="shared" si="579"/>
        <v>0</v>
      </c>
      <c r="BI95" s="65">
        <f t="shared" si="575"/>
        <v>0</v>
      </c>
      <c r="BJ95" s="126"/>
      <c r="BK95" s="128">
        <v>0.0</v>
      </c>
      <c r="BL95" s="128">
        <v>0.0</v>
      </c>
      <c r="BM95" s="128">
        <v>0.0</v>
      </c>
      <c r="BN95" s="128">
        <v>0.0</v>
      </c>
      <c r="BO95" s="128">
        <v>0.0</v>
      </c>
      <c r="BP95" s="128">
        <v>0.0</v>
      </c>
      <c r="BQ95" s="128">
        <v>0.0</v>
      </c>
      <c r="BR95" s="128">
        <v>0.0</v>
      </c>
      <c r="BS95" s="128">
        <v>0.0</v>
      </c>
      <c r="BT95" s="128">
        <v>0.0</v>
      </c>
      <c r="BU95" s="128">
        <v>0.0</v>
      </c>
      <c r="BV95" s="128">
        <v>0.0</v>
      </c>
      <c r="BW95" s="129">
        <v>0.0</v>
      </c>
      <c r="BX95" s="1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65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65"/>
      <c r="CZ95" s="11"/>
      <c r="DA95" s="47">
        <f t="shared" si="576"/>
        <v>0</v>
      </c>
      <c r="DB95" s="47"/>
      <c r="DC95" s="47"/>
      <c r="DD95" s="47"/>
      <c r="DE95" s="47"/>
      <c r="DF95" s="47"/>
      <c r="DG95" s="47"/>
      <c r="DH95" s="47"/>
      <c r="DI95" s="47"/>
      <c r="DJ95" s="47"/>
      <c r="DK95" s="47"/>
      <c r="DL95" s="47"/>
      <c r="DM95" s="65">
        <f t="shared" si="577"/>
        <v>0</v>
      </c>
      <c r="DN95" s="1"/>
      <c r="DO95" s="130"/>
      <c r="DP95" s="130"/>
      <c r="DQ95" s="131"/>
    </row>
    <row r="96" outlineLevel="3">
      <c r="A96" s="154"/>
      <c r="B96" s="172" t="s">
        <v>103</v>
      </c>
      <c r="C96" s="124"/>
      <c r="D96" s="47">
        <f t="shared" si="546"/>
        <v>0</v>
      </c>
      <c r="E96" s="47">
        <f t="shared" si="547"/>
        <v>0</v>
      </c>
      <c r="F96" s="47">
        <f t="shared" si="548"/>
        <v>0</v>
      </c>
      <c r="G96" s="47">
        <f t="shared" si="549"/>
        <v>0</v>
      </c>
      <c r="H96" s="48"/>
      <c r="I96" s="66">
        <f t="shared" si="550"/>
        <v>0</v>
      </c>
      <c r="J96" s="67">
        <f t="shared" si="551"/>
        <v>0</v>
      </c>
      <c r="K96" s="66">
        <f t="shared" si="552"/>
        <v>0</v>
      </c>
      <c r="L96" s="67">
        <f t="shared" si="553"/>
        <v>0</v>
      </c>
      <c r="M96" s="66">
        <f t="shared" si="554"/>
        <v>0</v>
      </c>
      <c r="N96" s="67">
        <f t="shared" si="555"/>
        <v>0</v>
      </c>
      <c r="O96" s="48"/>
      <c r="P96" s="47">
        <f t="shared" si="556"/>
        <v>0</v>
      </c>
      <c r="Q96" s="47">
        <f t="shared" si="557"/>
        <v>0</v>
      </c>
      <c r="R96" s="47">
        <f t="shared" si="558"/>
        <v>0</v>
      </c>
      <c r="S96" s="48"/>
      <c r="T96" s="66">
        <f t="shared" si="559"/>
        <v>0</v>
      </c>
      <c r="U96" s="67">
        <f t="shared" si="560"/>
        <v>0</v>
      </c>
      <c r="V96" s="66">
        <f t="shared" si="561"/>
        <v>0</v>
      </c>
      <c r="W96" s="67">
        <f t="shared" si="562"/>
        <v>0</v>
      </c>
      <c r="X96" s="48"/>
      <c r="Y96" s="47">
        <f t="shared" si="563"/>
        <v>0</v>
      </c>
      <c r="Z96" s="47">
        <f t="shared" si="564"/>
        <v>0</v>
      </c>
      <c r="AA96" s="47">
        <f t="shared" si="565"/>
        <v>0</v>
      </c>
      <c r="AB96" s="95" t="str">
        <f t="shared" si="566"/>
        <v/>
      </c>
      <c r="AC96" s="125"/>
      <c r="AD96" s="66">
        <f t="shared" si="567"/>
        <v>0</v>
      </c>
      <c r="AE96" s="67">
        <f t="shared" si="568"/>
        <v>0</v>
      </c>
      <c r="AF96" s="66">
        <f t="shared" si="569"/>
        <v>0</v>
      </c>
      <c r="AG96" s="67">
        <f t="shared" si="570"/>
        <v>0</v>
      </c>
      <c r="AH96" s="126"/>
      <c r="AI96" s="47" t="str">
        <f t="shared" si="571"/>
        <v/>
      </c>
      <c r="AJ96" s="47" t="str">
        <f t="shared" ref="AJ96:AT96" si="580">IFERROR(IF(AJ$3="A",CN96,IF(AJ$3="F",DB96,IF(AJ$3="B",BL96,0))),"")</f>
        <v/>
      </c>
      <c r="AK96" s="47" t="str">
        <f t="shared" si="580"/>
        <v/>
      </c>
      <c r="AL96" s="47" t="str">
        <f t="shared" si="580"/>
        <v/>
      </c>
      <c r="AM96" s="47" t="str">
        <f t="shared" si="580"/>
        <v/>
      </c>
      <c r="AN96" s="47" t="str">
        <f t="shared" si="580"/>
        <v/>
      </c>
      <c r="AO96" s="47" t="str">
        <f t="shared" si="580"/>
        <v/>
      </c>
      <c r="AP96" s="47" t="str">
        <f t="shared" si="580"/>
        <v/>
      </c>
      <c r="AQ96" s="47" t="str">
        <f t="shared" si="580"/>
        <v/>
      </c>
      <c r="AR96" s="47">
        <f t="shared" si="580"/>
        <v>0</v>
      </c>
      <c r="AS96" s="47">
        <f t="shared" si="580"/>
        <v>0</v>
      </c>
      <c r="AT96" s="47">
        <f t="shared" si="580"/>
        <v>0</v>
      </c>
      <c r="AU96" s="65">
        <f t="shared" si="573"/>
        <v>0</v>
      </c>
      <c r="AV96" s="127"/>
      <c r="AW96" s="47" t="str">
        <f t="shared" ref="AW96:BH96" si="581">IFERROR(IF(AW$3="A",CM96,IF(AW$3="B",BK96)),0)</f>
        <v/>
      </c>
      <c r="AX96" s="47" t="str">
        <f t="shared" si="581"/>
        <v/>
      </c>
      <c r="AY96" s="47" t="str">
        <f t="shared" si="581"/>
        <v/>
      </c>
      <c r="AZ96" s="47" t="str">
        <f t="shared" si="581"/>
        <v/>
      </c>
      <c r="BA96" s="47" t="str">
        <f t="shared" si="581"/>
        <v/>
      </c>
      <c r="BB96" s="47" t="str">
        <f t="shared" si="581"/>
        <v/>
      </c>
      <c r="BC96" s="47">
        <f t="shared" si="581"/>
        <v>0</v>
      </c>
      <c r="BD96" s="47">
        <f t="shared" si="581"/>
        <v>0</v>
      </c>
      <c r="BE96" s="47">
        <f t="shared" si="581"/>
        <v>0</v>
      </c>
      <c r="BF96" s="47">
        <f t="shared" si="581"/>
        <v>0</v>
      </c>
      <c r="BG96" s="47">
        <f t="shared" si="581"/>
        <v>0</v>
      </c>
      <c r="BH96" s="47">
        <f t="shared" si="581"/>
        <v>0</v>
      </c>
      <c r="BI96" s="65">
        <f t="shared" si="575"/>
        <v>0</v>
      </c>
      <c r="BJ96" s="126"/>
      <c r="BK96" s="128">
        <v>0.0</v>
      </c>
      <c r="BL96" s="128">
        <v>0.0</v>
      </c>
      <c r="BM96" s="128">
        <v>0.0</v>
      </c>
      <c r="BN96" s="128">
        <v>0.0</v>
      </c>
      <c r="BO96" s="128">
        <v>0.0</v>
      </c>
      <c r="BP96" s="128">
        <v>0.0</v>
      </c>
      <c r="BQ96" s="128">
        <v>0.0</v>
      </c>
      <c r="BR96" s="128">
        <v>0.0</v>
      </c>
      <c r="BS96" s="128">
        <v>0.0</v>
      </c>
      <c r="BT96" s="128">
        <v>0.0</v>
      </c>
      <c r="BU96" s="128">
        <v>0.0</v>
      </c>
      <c r="BV96" s="128">
        <v>0.0</v>
      </c>
      <c r="BW96" s="129">
        <v>0.0</v>
      </c>
      <c r="BX96" s="1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65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65"/>
      <c r="CZ96" s="11"/>
      <c r="DA96" s="47">
        <f t="shared" si="576"/>
        <v>0</v>
      </c>
      <c r="DB96" s="47"/>
      <c r="DC96" s="47"/>
      <c r="DD96" s="47"/>
      <c r="DE96" s="47"/>
      <c r="DF96" s="47"/>
      <c r="DG96" s="47"/>
      <c r="DH96" s="47"/>
      <c r="DI96" s="47"/>
      <c r="DJ96" s="47"/>
      <c r="DK96" s="47"/>
      <c r="DL96" s="47"/>
      <c r="DM96" s="65">
        <f t="shared" si="577"/>
        <v>0</v>
      </c>
      <c r="DN96" s="1"/>
      <c r="DO96" s="130"/>
      <c r="DP96" s="130"/>
      <c r="DQ96" s="131"/>
    </row>
    <row r="97" outlineLevel="3">
      <c r="A97" s="15"/>
      <c r="B97" s="172" t="s">
        <v>104</v>
      </c>
      <c r="C97" s="124"/>
      <c r="D97" s="47">
        <f t="shared" si="546"/>
        <v>0</v>
      </c>
      <c r="E97" s="47">
        <f t="shared" si="547"/>
        <v>0</v>
      </c>
      <c r="F97" s="47">
        <f t="shared" si="548"/>
        <v>0</v>
      </c>
      <c r="G97" s="47">
        <f t="shared" si="549"/>
        <v>0</v>
      </c>
      <c r="H97" s="48"/>
      <c r="I97" s="66">
        <f t="shared" si="550"/>
        <v>0</v>
      </c>
      <c r="J97" s="67">
        <f t="shared" si="551"/>
        <v>0</v>
      </c>
      <c r="K97" s="66">
        <f t="shared" si="552"/>
        <v>0</v>
      </c>
      <c r="L97" s="67">
        <f t="shared" si="553"/>
        <v>0</v>
      </c>
      <c r="M97" s="66">
        <f t="shared" si="554"/>
        <v>0</v>
      </c>
      <c r="N97" s="67">
        <f t="shared" si="555"/>
        <v>0</v>
      </c>
      <c r="O97" s="48"/>
      <c r="P97" s="47">
        <f t="shared" si="556"/>
        <v>0</v>
      </c>
      <c r="Q97" s="47">
        <f t="shared" si="557"/>
        <v>0</v>
      </c>
      <c r="R97" s="47">
        <f t="shared" si="558"/>
        <v>0</v>
      </c>
      <c r="S97" s="48"/>
      <c r="T97" s="66">
        <f t="shared" si="559"/>
        <v>0</v>
      </c>
      <c r="U97" s="67">
        <f t="shared" si="560"/>
        <v>0</v>
      </c>
      <c r="V97" s="66">
        <f t="shared" si="561"/>
        <v>0</v>
      </c>
      <c r="W97" s="67">
        <f t="shared" si="562"/>
        <v>0</v>
      </c>
      <c r="X97" s="48"/>
      <c r="Y97" s="47">
        <f t="shared" si="563"/>
        <v>0</v>
      </c>
      <c r="Z97" s="47">
        <f t="shared" si="564"/>
        <v>0</v>
      </c>
      <c r="AA97" s="47">
        <f t="shared" si="565"/>
        <v>0</v>
      </c>
      <c r="AB97" s="95" t="str">
        <f t="shared" si="566"/>
        <v/>
      </c>
      <c r="AC97" s="125"/>
      <c r="AD97" s="66">
        <f t="shared" si="567"/>
        <v>0</v>
      </c>
      <c r="AE97" s="67">
        <f t="shared" si="568"/>
        <v>0</v>
      </c>
      <c r="AF97" s="66">
        <f t="shared" si="569"/>
        <v>0</v>
      </c>
      <c r="AG97" s="67">
        <f t="shared" si="570"/>
        <v>0</v>
      </c>
      <c r="AH97" s="126"/>
      <c r="AI97" s="47" t="str">
        <f t="shared" si="571"/>
        <v/>
      </c>
      <c r="AJ97" s="47" t="str">
        <f t="shared" ref="AJ97:AT97" si="582">IFERROR(IF(AJ$3="A",CN97,IF(AJ$3="F",DB97,IF(AJ$3="B",BL97,0))),"")</f>
        <v/>
      </c>
      <c r="AK97" s="47" t="str">
        <f t="shared" si="582"/>
        <v/>
      </c>
      <c r="AL97" s="47" t="str">
        <f t="shared" si="582"/>
        <v/>
      </c>
      <c r="AM97" s="47" t="str">
        <f t="shared" si="582"/>
        <v/>
      </c>
      <c r="AN97" s="47" t="str">
        <f t="shared" si="582"/>
        <v/>
      </c>
      <c r="AO97" s="47" t="str">
        <f t="shared" si="582"/>
        <v/>
      </c>
      <c r="AP97" s="47" t="str">
        <f t="shared" si="582"/>
        <v/>
      </c>
      <c r="AQ97" s="47" t="str">
        <f t="shared" si="582"/>
        <v/>
      </c>
      <c r="AR97" s="47">
        <f t="shared" si="582"/>
        <v>0</v>
      </c>
      <c r="AS97" s="47">
        <f t="shared" si="582"/>
        <v>0</v>
      </c>
      <c r="AT97" s="47">
        <f t="shared" si="582"/>
        <v>0</v>
      </c>
      <c r="AU97" s="65">
        <f t="shared" si="573"/>
        <v>0</v>
      </c>
      <c r="AV97" s="127"/>
      <c r="AW97" s="47" t="str">
        <f t="shared" ref="AW97:BH97" si="583">IFERROR(IF(AW$3="A",CM97,IF(AW$3="B",BK97)),0)</f>
        <v/>
      </c>
      <c r="AX97" s="47" t="str">
        <f t="shared" si="583"/>
        <v/>
      </c>
      <c r="AY97" s="47" t="str">
        <f t="shared" si="583"/>
        <v/>
      </c>
      <c r="AZ97" s="47" t="str">
        <f t="shared" si="583"/>
        <v/>
      </c>
      <c r="BA97" s="47" t="str">
        <f t="shared" si="583"/>
        <v/>
      </c>
      <c r="BB97" s="47" t="str">
        <f t="shared" si="583"/>
        <v/>
      </c>
      <c r="BC97" s="47">
        <f t="shared" si="583"/>
        <v>0</v>
      </c>
      <c r="BD97" s="47">
        <f t="shared" si="583"/>
        <v>0</v>
      </c>
      <c r="BE97" s="47">
        <f t="shared" si="583"/>
        <v>0</v>
      </c>
      <c r="BF97" s="47">
        <f t="shared" si="583"/>
        <v>0</v>
      </c>
      <c r="BG97" s="47">
        <f t="shared" si="583"/>
        <v>0</v>
      </c>
      <c r="BH97" s="47">
        <f t="shared" si="583"/>
        <v>0</v>
      </c>
      <c r="BI97" s="65">
        <f t="shared" si="575"/>
        <v>0</v>
      </c>
      <c r="BJ97" s="126"/>
      <c r="BK97" s="128">
        <v>0.0</v>
      </c>
      <c r="BL97" s="128">
        <v>0.0</v>
      </c>
      <c r="BM97" s="128">
        <v>0.0</v>
      </c>
      <c r="BN97" s="128">
        <v>0.0</v>
      </c>
      <c r="BO97" s="128">
        <v>0.0</v>
      </c>
      <c r="BP97" s="128">
        <v>0.0</v>
      </c>
      <c r="BQ97" s="128">
        <v>0.0</v>
      </c>
      <c r="BR97" s="128">
        <v>0.0</v>
      </c>
      <c r="BS97" s="128">
        <v>0.0</v>
      </c>
      <c r="BT97" s="128">
        <v>0.0</v>
      </c>
      <c r="BU97" s="128">
        <v>0.0</v>
      </c>
      <c r="BV97" s="128">
        <v>0.0</v>
      </c>
      <c r="BW97" s="129">
        <v>0.0</v>
      </c>
      <c r="BX97" s="1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65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65"/>
      <c r="CZ97" s="11"/>
      <c r="DA97" s="47">
        <f t="shared" si="576"/>
        <v>0</v>
      </c>
      <c r="DB97" s="47"/>
      <c r="DC97" s="47"/>
      <c r="DD97" s="47"/>
      <c r="DE97" s="47"/>
      <c r="DF97" s="47"/>
      <c r="DG97" s="47"/>
      <c r="DH97" s="47"/>
      <c r="DI97" s="47"/>
      <c r="DJ97" s="47"/>
      <c r="DK97" s="47"/>
      <c r="DL97" s="47"/>
      <c r="DM97" s="65">
        <f t="shared" si="577"/>
        <v>0</v>
      </c>
      <c r="DN97" s="1"/>
      <c r="DO97" s="130"/>
      <c r="DP97" s="130"/>
      <c r="DQ97" s="131"/>
    </row>
    <row r="98" outlineLevel="2">
      <c r="A98" s="154"/>
      <c r="B98" s="133" t="s">
        <v>105</v>
      </c>
      <c r="C98" s="124"/>
      <c r="D98" s="57">
        <f t="shared" ref="D98:G98" si="584">SUM(D93:D97)</f>
        <v>0</v>
      </c>
      <c r="E98" s="57">
        <f t="shared" si="584"/>
        <v>0</v>
      </c>
      <c r="F98" s="57">
        <f t="shared" si="584"/>
        <v>301441</v>
      </c>
      <c r="G98" s="57">
        <f t="shared" si="584"/>
        <v>0</v>
      </c>
      <c r="H98" s="125"/>
      <c r="I98" s="75">
        <f t="shared" si="550"/>
        <v>0</v>
      </c>
      <c r="J98" s="60">
        <f t="shared" si="551"/>
        <v>0</v>
      </c>
      <c r="K98" s="75">
        <f t="shared" si="552"/>
        <v>-301441</v>
      </c>
      <c r="L98" s="60">
        <f t="shared" si="553"/>
        <v>-1</v>
      </c>
      <c r="M98" s="75">
        <f t="shared" si="554"/>
        <v>0</v>
      </c>
      <c r="N98" s="60">
        <f t="shared" si="555"/>
        <v>0</v>
      </c>
      <c r="O98" s="125"/>
      <c r="P98" s="57">
        <f t="shared" ref="P98:R98" si="585">SUM(P93:P97)</f>
        <v>0</v>
      </c>
      <c r="Q98" s="57">
        <f t="shared" si="585"/>
        <v>1386186</v>
      </c>
      <c r="R98" s="57">
        <f t="shared" si="585"/>
        <v>0</v>
      </c>
      <c r="S98" s="125"/>
      <c r="T98" s="75">
        <f t="shared" si="559"/>
        <v>-1386186</v>
      </c>
      <c r="U98" s="60">
        <f t="shared" si="560"/>
        <v>-1</v>
      </c>
      <c r="V98" s="75">
        <f t="shared" si="561"/>
        <v>0</v>
      </c>
      <c r="W98" s="60">
        <f t="shared" si="562"/>
        <v>0</v>
      </c>
      <c r="X98" s="125"/>
      <c r="Y98" s="57">
        <f t="shared" ref="Y98:AB98" si="586">SUM(Y93:Y97)</f>
        <v>986037</v>
      </c>
      <c r="Z98" s="57">
        <f t="shared" si="586"/>
        <v>2623089</v>
      </c>
      <c r="AA98" s="57">
        <f t="shared" si="586"/>
        <v>4009275</v>
      </c>
      <c r="AB98" s="57">
        <f t="shared" si="586"/>
        <v>0</v>
      </c>
      <c r="AC98" s="125"/>
      <c r="AD98" s="75">
        <f t="shared" si="567"/>
        <v>-3023238</v>
      </c>
      <c r="AE98" s="60">
        <f t="shared" si="568"/>
        <v>-0.754061021</v>
      </c>
      <c r="AF98" s="75">
        <f t="shared" si="569"/>
        <v>986037</v>
      </c>
      <c r="AG98" s="60">
        <f t="shared" si="570"/>
        <v>0</v>
      </c>
      <c r="AH98" s="134"/>
      <c r="AI98" s="57">
        <f t="shared" ref="AI98:AU98" si="587">SUM(AI93:AI97)</f>
        <v>0</v>
      </c>
      <c r="AJ98" s="57">
        <f t="shared" si="587"/>
        <v>0</v>
      </c>
      <c r="AK98" s="57">
        <f t="shared" si="587"/>
        <v>0</v>
      </c>
      <c r="AL98" s="57">
        <f t="shared" si="587"/>
        <v>0</v>
      </c>
      <c r="AM98" s="57">
        <f t="shared" si="587"/>
        <v>0</v>
      </c>
      <c r="AN98" s="57">
        <f t="shared" si="587"/>
        <v>0</v>
      </c>
      <c r="AO98" s="57">
        <f t="shared" si="587"/>
        <v>0</v>
      </c>
      <c r="AP98" s="57">
        <f t="shared" si="587"/>
        <v>0</v>
      </c>
      <c r="AQ98" s="57">
        <f t="shared" si="587"/>
        <v>0</v>
      </c>
      <c r="AR98" s="57">
        <f t="shared" si="587"/>
        <v>504720</v>
      </c>
      <c r="AS98" s="57">
        <f t="shared" si="587"/>
        <v>226579</v>
      </c>
      <c r="AT98" s="57">
        <f t="shared" si="587"/>
        <v>254738</v>
      </c>
      <c r="AU98" s="57">
        <f t="shared" si="587"/>
        <v>986037</v>
      </c>
      <c r="AV98" s="127"/>
      <c r="AW98" s="57">
        <f t="shared" ref="AW98:BI98" si="588">SUM(AW93:AW97)</f>
        <v>0</v>
      </c>
      <c r="AX98" s="57">
        <f t="shared" si="588"/>
        <v>0</v>
      </c>
      <c r="AY98" s="57">
        <f t="shared" si="588"/>
        <v>0</v>
      </c>
      <c r="AZ98" s="57">
        <f t="shared" si="588"/>
        <v>0</v>
      </c>
      <c r="BA98" s="57">
        <f t="shared" si="588"/>
        <v>0</v>
      </c>
      <c r="BB98" s="57">
        <f t="shared" si="588"/>
        <v>0</v>
      </c>
      <c r="BC98" s="57">
        <f t="shared" si="588"/>
        <v>574402</v>
      </c>
      <c r="BD98" s="57">
        <f t="shared" si="588"/>
        <v>565051</v>
      </c>
      <c r="BE98" s="57">
        <f t="shared" si="588"/>
        <v>497599</v>
      </c>
      <c r="BF98" s="57">
        <f t="shared" si="588"/>
        <v>504720</v>
      </c>
      <c r="BG98" s="57">
        <f t="shared" si="588"/>
        <v>226579</v>
      </c>
      <c r="BH98" s="57">
        <f t="shared" si="588"/>
        <v>254738</v>
      </c>
      <c r="BI98" s="57">
        <f t="shared" si="588"/>
        <v>2623089</v>
      </c>
      <c r="BJ98" s="134"/>
      <c r="BK98" s="135">
        <v>295950.0</v>
      </c>
      <c r="BL98" s="135">
        <v>288747.0</v>
      </c>
      <c r="BM98" s="135">
        <v>180133.0</v>
      </c>
      <c r="BN98" s="135">
        <v>143860.0</v>
      </c>
      <c r="BO98" s="135">
        <v>176055.0</v>
      </c>
      <c r="BP98" s="135">
        <v>301441.0</v>
      </c>
      <c r="BQ98" s="135">
        <v>574402.0</v>
      </c>
      <c r="BR98" s="135">
        <v>565051.0</v>
      </c>
      <c r="BS98" s="135">
        <v>497599.0</v>
      </c>
      <c r="BT98" s="135">
        <v>504720.0</v>
      </c>
      <c r="BU98" s="135">
        <v>226579.0</v>
      </c>
      <c r="BV98" s="135">
        <v>254738.0</v>
      </c>
      <c r="BW98" s="135">
        <v>4009275.0</v>
      </c>
      <c r="BX98" s="1"/>
      <c r="BY98" s="57"/>
      <c r="BZ98" s="57"/>
      <c r="CA98" s="57"/>
      <c r="CB98" s="57"/>
      <c r="CC98" s="57"/>
      <c r="CD98" s="57"/>
      <c r="CE98" s="57"/>
      <c r="CF98" s="57"/>
      <c r="CG98" s="57"/>
      <c r="CH98" s="57"/>
      <c r="CI98" s="57"/>
      <c r="CJ98" s="57"/>
      <c r="CK98" s="57"/>
      <c r="CL98" s="57"/>
      <c r="CM98" s="57"/>
      <c r="CN98" s="57"/>
      <c r="CO98" s="57"/>
      <c r="CP98" s="57"/>
      <c r="CQ98" s="57"/>
      <c r="CR98" s="57"/>
      <c r="CS98" s="57"/>
      <c r="CT98" s="57"/>
      <c r="CU98" s="57"/>
      <c r="CV98" s="57"/>
      <c r="CW98" s="57"/>
      <c r="CX98" s="57"/>
      <c r="CY98" s="57"/>
      <c r="CZ98" s="11"/>
      <c r="DA98" s="57">
        <f>SUM(DA93:DA97)</f>
        <v>295950</v>
      </c>
      <c r="DB98" s="57"/>
      <c r="DC98" s="57"/>
      <c r="DD98" s="57"/>
      <c r="DE98" s="57"/>
      <c r="DF98" s="57"/>
      <c r="DG98" s="57"/>
      <c r="DH98" s="57"/>
      <c r="DI98" s="57"/>
      <c r="DJ98" s="57"/>
      <c r="DK98" s="57"/>
      <c r="DL98" s="57"/>
      <c r="DM98" s="57">
        <f>SUM(DM93:DM97)</f>
        <v>295950</v>
      </c>
      <c r="DN98" s="1"/>
      <c r="DO98" s="136"/>
      <c r="DP98" s="136"/>
      <c r="DQ98" s="131"/>
    </row>
    <row r="99" outlineLevel="2">
      <c r="A99" s="154"/>
      <c r="B99" s="133" t="s">
        <v>106</v>
      </c>
      <c r="C99" s="124"/>
      <c r="D99" s="57">
        <f t="shared" ref="D99:G99" si="589">SUM(D100:D108)</f>
        <v>0</v>
      </c>
      <c r="E99" s="57">
        <f t="shared" si="589"/>
        <v>0</v>
      </c>
      <c r="F99" s="57">
        <f t="shared" si="589"/>
        <v>27145.956</v>
      </c>
      <c r="G99" s="57">
        <f t="shared" si="589"/>
        <v>0</v>
      </c>
      <c r="H99" s="125"/>
      <c r="I99" s="75">
        <f t="shared" si="550"/>
        <v>0</v>
      </c>
      <c r="J99" s="60">
        <f t="shared" si="551"/>
        <v>0</v>
      </c>
      <c r="K99" s="75">
        <f t="shared" si="552"/>
        <v>-27145.956</v>
      </c>
      <c r="L99" s="60">
        <f t="shared" si="553"/>
        <v>-1</v>
      </c>
      <c r="M99" s="75">
        <f t="shared" si="554"/>
        <v>0</v>
      </c>
      <c r="N99" s="60">
        <f t="shared" si="555"/>
        <v>0</v>
      </c>
      <c r="O99" s="125"/>
      <c r="P99" s="57">
        <f t="shared" ref="P99:R99" si="590">SUM(P100:P108)</f>
        <v>0</v>
      </c>
      <c r="Q99" s="57">
        <f t="shared" si="590"/>
        <v>135264.21</v>
      </c>
      <c r="R99" s="57">
        <f t="shared" si="590"/>
        <v>0</v>
      </c>
      <c r="S99" s="125"/>
      <c r="T99" s="75">
        <f t="shared" si="559"/>
        <v>-135264.21</v>
      </c>
      <c r="U99" s="60">
        <f t="shared" si="560"/>
        <v>-1</v>
      </c>
      <c r="V99" s="75">
        <f t="shared" si="561"/>
        <v>0</v>
      </c>
      <c r="W99" s="60">
        <f t="shared" si="562"/>
        <v>0</v>
      </c>
      <c r="X99" s="125"/>
      <c r="Y99" s="57">
        <f t="shared" ref="Y99:AB99" si="591">SUM(Y100:Y108)</f>
        <v>63353.208</v>
      </c>
      <c r="Z99" s="57">
        <f t="shared" si="591"/>
        <v>211748.718</v>
      </c>
      <c r="AA99" s="57">
        <f t="shared" si="591"/>
        <v>347012.928</v>
      </c>
      <c r="AB99" s="57">
        <f t="shared" si="591"/>
        <v>0</v>
      </c>
      <c r="AC99" s="125"/>
      <c r="AD99" s="75">
        <f t="shared" si="567"/>
        <v>-283659.72</v>
      </c>
      <c r="AE99" s="60">
        <f t="shared" si="568"/>
        <v>-0.8174327154</v>
      </c>
      <c r="AF99" s="75">
        <f t="shared" si="569"/>
        <v>63353.208</v>
      </c>
      <c r="AG99" s="60">
        <f t="shared" si="570"/>
        <v>0</v>
      </c>
      <c r="AH99" s="134"/>
      <c r="AI99" s="57">
        <f t="shared" ref="AI99:AU99" si="592">SUM(AI100:AI108)</f>
        <v>0</v>
      </c>
      <c r="AJ99" s="57">
        <f t="shared" si="592"/>
        <v>0</v>
      </c>
      <c r="AK99" s="57">
        <f t="shared" si="592"/>
        <v>0</v>
      </c>
      <c r="AL99" s="57">
        <f t="shared" si="592"/>
        <v>0</v>
      </c>
      <c r="AM99" s="57">
        <f t="shared" si="592"/>
        <v>0</v>
      </c>
      <c r="AN99" s="57">
        <f t="shared" si="592"/>
        <v>0</v>
      </c>
      <c r="AO99" s="57">
        <f t="shared" si="592"/>
        <v>0</v>
      </c>
      <c r="AP99" s="57">
        <f t="shared" si="592"/>
        <v>0</v>
      </c>
      <c r="AQ99" s="57">
        <f t="shared" si="592"/>
        <v>0</v>
      </c>
      <c r="AR99" s="57">
        <f t="shared" si="592"/>
        <v>27783.115</v>
      </c>
      <c r="AS99" s="57">
        <f t="shared" si="592"/>
        <v>16219.159</v>
      </c>
      <c r="AT99" s="57">
        <f t="shared" si="592"/>
        <v>19350.934</v>
      </c>
      <c r="AU99" s="57">
        <f t="shared" si="592"/>
        <v>63353.208</v>
      </c>
      <c r="AV99" s="127"/>
      <c r="AW99" s="57">
        <f t="shared" ref="AW99:BI99" si="593">SUM(AW100:AW108)</f>
        <v>0</v>
      </c>
      <c r="AX99" s="57">
        <f t="shared" si="593"/>
        <v>0</v>
      </c>
      <c r="AY99" s="57">
        <f t="shared" si="593"/>
        <v>0</v>
      </c>
      <c r="AZ99" s="57">
        <f t="shared" si="593"/>
        <v>0</v>
      </c>
      <c r="BA99" s="57">
        <f t="shared" si="593"/>
        <v>0</v>
      </c>
      <c r="BB99" s="57">
        <f t="shared" si="593"/>
        <v>0</v>
      </c>
      <c r="BC99" s="57">
        <f t="shared" si="593"/>
        <v>56910.373</v>
      </c>
      <c r="BD99" s="57">
        <f t="shared" si="593"/>
        <v>51001.536</v>
      </c>
      <c r="BE99" s="57">
        <f t="shared" si="593"/>
        <v>40483.601</v>
      </c>
      <c r="BF99" s="57">
        <f t="shared" si="593"/>
        <v>27783.115</v>
      </c>
      <c r="BG99" s="57">
        <f t="shared" si="593"/>
        <v>16219.159</v>
      </c>
      <c r="BH99" s="57">
        <f t="shared" si="593"/>
        <v>19350.934</v>
      </c>
      <c r="BI99" s="57">
        <f t="shared" si="593"/>
        <v>211748.718</v>
      </c>
      <c r="BJ99" s="134"/>
      <c r="BK99" s="135">
        <v>32518.633</v>
      </c>
      <c r="BL99" s="135">
        <v>26147.517</v>
      </c>
      <c r="BM99" s="135">
        <v>20059.098</v>
      </c>
      <c r="BN99" s="135">
        <v>15810.827</v>
      </c>
      <c r="BO99" s="135">
        <v>13582.179</v>
      </c>
      <c r="BP99" s="135">
        <v>27145.956</v>
      </c>
      <c r="BQ99" s="135">
        <v>56910.373</v>
      </c>
      <c r="BR99" s="135">
        <v>51001.536</v>
      </c>
      <c r="BS99" s="135">
        <v>40483.601</v>
      </c>
      <c r="BT99" s="135">
        <v>27783.115</v>
      </c>
      <c r="BU99" s="135">
        <v>16219.159</v>
      </c>
      <c r="BV99" s="135">
        <v>19350.934</v>
      </c>
      <c r="BW99" s="135">
        <v>347012.928</v>
      </c>
      <c r="BX99" s="1"/>
      <c r="BY99" s="57"/>
      <c r="BZ99" s="57"/>
      <c r="CA99" s="57"/>
      <c r="CB99" s="57"/>
      <c r="CC99" s="57"/>
      <c r="CD99" s="57"/>
      <c r="CE99" s="57"/>
      <c r="CF99" s="57"/>
      <c r="CG99" s="57"/>
      <c r="CH99" s="57"/>
      <c r="CI99" s="57"/>
      <c r="CJ99" s="57"/>
      <c r="CK99" s="57"/>
      <c r="CL99" s="47"/>
      <c r="CM99" s="57"/>
      <c r="CN99" s="57"/>
      <c r="CO99" s="57"/>
      <c r="CP99" s="57"/>
      <c r="CQ99" s="57"/>
      <c r="CR99" s="57"/>
      <c r="CS99" s="57"/>
      <c r="CT99" s="57"/>
      <c r="CU99" s="57"/>
      <c r="CV99" s="57"/>
      <c r="CW99" s="57"/>
      <c r="CX99" s="57"/>
      <c r="CY99" s="57"/>
      <c r="CZ99" s="11"/>
      <c r="DA99" s="57">
        <f>SUM(DA100:DA108)</f>
        <v>32518.633</v>
      </c>
      <c r="DB99" s="57"/>
      <c r="DC99" s="57"/>
      <c r="DD99" s="57"/>
      <c r="DE99" s="57"/>
      <c r="DF99" s="57"/>
      <c r="DG99" s="57"/>
      <c r="DH99" s="57"/>
      <c r="DI99" s="57"/>
      <c r="DJ99" s="57"/>
      <c r="DK99" s="57"/>
      <c r="DL99" s="57"/>
      <c r="DM99" s="57">
        <f>SUM(DM100:DM108)</f>
        <v>32518.633</v>
      </c>
      <c r="DN99" s="1"/>
      <c r="DO99" s="136"/>
      <c r="DP99" s="136"/>
      <c r="DQ99" s="131"/>
    </row>
    <row r="100" outlineLevel="3">
      <c r="A100" s="154"/>
      <c r="B100" s="173" t="s">
        <v>107</v>
      </c>
      <c r="C100" s="124"/>
      <c r="D100" s="174">
        <f t="shared" ref="D100:D110" si="596">SUMIFS($CM100:$CX100,$CM$35:$CX$35,$D$2)</f>
        <v>0</v>
      </c>
      <c r="E100" s="174">
        <f t="shared" ref="E100:E110" si="597">SUMIFS($DA100:$DM100,$DA$35:$DM$35,$D$2)</f>
        <v>0</v>
      </c>
      <c r="F100" s="174">
        <f t="shared" ref="F100:F110" si="598">SUMIFS($BK100:$BV100,$BK$35:$BV$35,$D$2)</f>
        <v>1312.143</v>
      </c>
      <c r="G100" s="174">
        <f t="shared" ref="G100:G110" si="599">SUMIFS($BY100:$CJ100,$BY$35:$CJ$35,$D$2)</f>
        <v>0</v>
      </c>
      <c r="H100" s="175"/>
      <c r="I100" s="176">
        <f t="shared" si="550"/>
        <v>0</v>
      </c>
      <c r="J100" s="177">
        <f t="shared" si="551"/>
        <v>0</v>
      </c>
      <c r="K100" s="176">
        <f t="shared" si="552"/>
        <v>-1312.143</v>
      </c>
      <c r="L100" s="177">
        <f t="shared" si="553"/>
        <v>-1</v>
      </c>
      <c r="M100" s="176">
        <f t="shared" si="554"/>
        <v>0</v>
      </c>
      <c r="N100" s="177">
        <f t="shared" si="555"/>
        <v>0</v>
      </c>
      <c r="O100" s="175"/>
      <c r="P100" s="174">
        <f t="shared" ref="P100:P110" si="600">SUMIFS($CM100:$CX100,$CM$35:$CX$35,$P$2)</f>
        <v>0</v>
      </c>
      <c r="Q100" s="174">
        <f t="shared" ref="Q100:Q110" si="601">SUMIFS($BK100:$BV100,$BK$35:$BV$35,$P$2)</f>
        <v>5269.271</v>
      </c>
      <c r="R100" s="174">
        <f t="shared" ref="R100:R110" si="602">SUMIFS($BY100:$CJ100,$BY$35:$CJ$35,$P$2)</f>
        <v>0</v>
      </c>
      <c r="S100" s="48"/>
      <c r="T100" s="66">
        <f t="shared" si="559"/>
        <v>-5269.271</v>
      </c>
      <c r="U100" s="67">
        <f t="shared" si="560"/>
        <v>-1</v>
      </c>
      <c r="V100" s="66">
        <f t="shared" si="561"/>
        <v>0</v>
      </c>
      <c r="W100" s="67">
        <f t="shared" si="562"/>
        <v>0</v>
      </c>
      <c r="X100" s="48"/>
      <c r="Y100" s="178">
        <f t="shared" ref="Y100:Y110" si="603">$AU100</f>
        <v>2260.603</v>
      </c>
      <c r="Z100" s="178">
        <f t="shared" ref="Z100:Z110" si="604">$BI100</f>
        <v>6942.772</v>
      </c>
      <c r="AA100" s="174">
        <f t="shared" ref="AA100:AA110" si="605">$BW100</f>
        <v>12212.043</v>
      </c>
      <c r="AB100" s="95" t="str">
        <f t="shared" ref="AB100:AB110" si="606">$CK100</f>
        <v/>
      </c>
      <c r="AC100" s="125"/>
      <c r="AD100" s="66">
        <f t="shared" si="567"/>
        <v>-9951.44</v>
      </c>
      <c r="AE100" s="67">
        <f t="shared" si="568"/>
        <v>-0.8148874025</v>
      </c>
      <c r="AF100" s="66">
        <f t="shared" si="569"/>
        <v>2260.603</v>
      </c>
      <c r="AG100" s="67">
        <f t="shared" si="570"/>
        <v>0</v>
      </c>
      <c r="AH100" s="179"/>
      <c r="AI100" s="47" t="str">
        <f t="shared" ref="AI100:AI110" si="607">IFERROR(IF(AI$3="A",CM100,IF(AI$3="F",DA100)),0)</f>
        <v/>
      </c>
      <c r="AJ100" s="47" t="str">
        <f t="shared" ref="AJ100:AT100" si="594">IFERROR(IF(AJ$3="A",CN100,IF(AJ$3="F",DB100,IF(AJ$3="B",BL100,0))),"")</f>
        <v/>
      </c>
      <c r="AK100" s="47" t="str">
        <f t="shared" si="594"/>
        <v/>
      </c>
      <c r="AL100" s="47" t="str">
        <f t="shared" si="594"/>
        <v/>
      </c>
      <c r="AM100" s="47" t="str">
        <f t="shared" si="594"/>
        <v/>
      </c>
      <c r="AN100" s="47" t="str">
        <f t="shared" si="594"/>
        <v/>
      </c>
      <c r="AO100" s="47" t="str">
        <f t="shared" si="594"/>
        <v/>
      </c>
      <c r="AP100" s="47" t="str">
        <f t="shared" si="594"/>
        <v/>
      </c>
      <c r="AQ100" s="47" t="str">
        <f t="shared" si="594"/>
        <v/>
      </c>
      <c r="AR100" s="47">
        <f t="shared" si="594"/>
        <v>1145.376</v>
      </c>
      <c r="AS100" s="47">
        <f t="shared" si="594"/>
        <v>596.3</v>
      </c>
      <c r="AT100" s="47">
        <f t="shared" si="594"/>
        <v>518.927</v>
      </c>
      <c r="AU100" s="180">
        <f t="shared" ref="AU100:AU110" si="609">SUM(AI100:AT100)</f>
        <v>2260.603</v>
      </c>
      <c r="AV100" s="127"/>
      <c r="AW100" s="47" t="str">
        <f t="shared" ref="AW100:BH100" si="595">IFERROR(IF(AW$3="A",CM100,IF(AW$3="B",BK100)),0)</f>
        <v/>
      </c>
      <c r="AX100" s="47" t="str">
        <f t="shared" si="595"/>
        <v/>
      </c>
      <c r="AY100" s="47" t="str">
        <f t="shared" si="595"/>
        <v/>
      </c>
      <c r="AZ100" s="47" t="str">
        <f t="shared" si="595"/>
        <v/>
      </c>
      <c r="BA100" s="47" t="str">
        <f t="shared" si="595"/>
        <v/>
      </c>
      <c r="BB100" s="47" t="str">
        <f t="shared" si="595"/>
        <v/>
      </c>
      <c r="BC100" s="47">
        <f t="shared" si="595"/>
        <v>2216.783</v>
      </c>
      <c r="BD100" s="47">
        <f t="shared" si="595"/>
        <v>1311.592</v>
      </c>
      <c r="BE100" s="47">
        <f t="shared" si="595"/>
        <v>1153.794</v>
      </c>
      <c r="BF100" s="47">
        <f t="shared" si="595"/>
        <v>1145.376</v>
      </c>
      <c r="BG100" s="47">
        <f t="shared" si="595"/>
        <v>596.3</v>
      </c>
      <c r="BH100" s="47">
        <f t="shared" si="595"/>
        <v>518.927</v>
      </c>
      <c r="BI100" s="180">
        <f t="shared" ref="BI100:BI110" si="611">SUM(AW100:BH100)</f>
        <v>6942.772</v>
      </c>
      <c r="BJ100" s="179"/>
      <c r="BK100" s="128">
        <v>613.646</v>
      </c>
      <c r="BL100" s="128">
        <v>614.754</v>
      </c>
      <c r="BM100" s="128">
        <v>444.54</v>
      </c>
      <c r="BN100" s="128">
        <v>974.188</v>
      </c>
      <c r="BO100" s="128">
        <v>1310.0</v>
      </c>
      <c r="BP100" s="128">
        <v>1312.143</v>
      </c>
      <c r="BQ100" s="128">
        <v>2216.783</v>
      </c>
      <c r="BR100" s="128">
        <v>1311.592</v>
      </c>
      <c r="BS100" s="128">
        <v>1153.794</v>
      </c>
      <c r="BT100" s="128">
        <v>1145.376</v>
      </c>
      <c r="BU100" s="128">
        <v>596.3</v>
      </c>
      <c r="BV100" s="128">
        <v>518.927</v>
      </c>
      <c r="BW100" s="181">
        <v>12212.043</v>
      </c>
      <c r="BX100" s="182"/>
      <c r="BY100" s="47"/>
      <c r="BZ100" s="47"/>
      <c r="CA100" s="47"/>
      <c r="CB100" s="47"/>
      <c r="CC100" s="47"/>
      <c r="CD100" s="47"/>
      <c r="CE100" s="47"/>
      <c r="CF100" s="47"/>
      <c r="CG100" s="47"/>
      <c r="CH100" s="47"/>
      <c r="CI100" s="47"/>
      <c r="CJ100" s="47"/>
      <c r="CK100" s="180"/>
      <c r="CL100" s="178"/>
      <c r="CM100" s="47"/>
      <c r="CN100" s="47"/>
      <c r="CO100" s="47"/>
      <c r="CP100" s="47"/>
      <c r="CQ100" s="47"/>
      <c r="CR100" s="47"/>
      <c r="CS100" s="47"/>
      <c r="CT100" s="47"/>
      <c r="CU100" s="47"/>
      <c r="CV100" s="47"/>
      <c r="CW100" s="47"/>
      <c r="CX100" s="47"/>
      <c r="CY100" s="180"/>
      <c r="CZ100" s="183"/>
      <c r="DA100" s="47">
        <f t="shared" ref="DA100:DA110" si="612">BK100</f>
        <v>613.646</v>
      </c>
      <c r="DB100" s="47"/>
      <c r="DC100" s="47"/>
      <c r="DD100" s="47"/>
      <c r="DE100" s="47"/>
      <c r="DF100" s="47"/>
      <c r="DG100" s="47"/>
      <c r="DH100" s="47"/>
      <c r="DI100" s="47"/>
      <c r="DJ100" s="47"/>
      <c r="DK100" s="47"/>
      <c r="DL100" s="47"/>
      <c r="DM100" s="180">
        <f t="shared" ref="DM100:DM110" si="613">SUM(DA100:DL100)</f>
        <v>613.646</v>
      </c>
      <c r="DN100" s="182"/>
      <c r="DO100" s="130"/>
      <c r="DP100" s="130"/>
      <c r="DQ100" s="131"/>
    </row>
    <row r="101" outlineLevel="3">
      <c r="A101" s="154"/>
      <c r="B101" s="173" t="s">
        <v>108</v>
      </c>
      <c r="C101" s="124"/>
      <c r="D101" s="174">
        <f t="shared" si="596"/>
        <v>0</v>
      </c>
      <c r="E101" s="174">
        <f t="shared" si="597"/>
        <v>0</v>
      </c>
      <c r="F101" s="174">
        <f t="shared" si="598"/>
        <v>980.571</v>
      </c>
      <c r="G101" s="174">
        <f t="shared" si="599"/>
        <v>0</v>
      </c>
      <c r="H101" s="175"/>
      <c r="I101" s="176">
        <f t="shared" si="550"/>
        <v>0</v>
      </c>
      <c r="J101" s="177">
        <f t="shared" si="551"/>
        <v>0</v>
      </c>
      <c r="K101" s="176">
        <f t="shared" si="552"/>
        <v>-980.571</v>
      </c>
      <c r="L101" s="177">
        <f t="shared" si="553"/>
        <v>-1</v>
      </c>
      <c r="M101" s="176">
        <f t="shared" si="554"/>
        <v>0</v>
      </c>
      <c r="N101" s="177">
        <f t="shared" si="555"/>
        <v>0</v>
      </c>
      <c r="O101" s="175"/>
      <c r="P101" s="174">
        <f t="shared" si="600"/>
        <v>0</v>
      </c>
      <c r="Q101" s="174">
        <f t="shared" si="601"/>
        <v>5923.301</v>
      </c>
      <c r="R101" s="174">
        <f t="shared" si="602"/>
        <v>0</v>
      </c>
      <c r="S101" s="48"/>
      <c r="T101" s="66">
        <f t="shared" si="559"/>
        <v>-5923.301</v>
      </c>
      <c r="U101" s="67">
        <f t="shared" si="560"/>
        <v>-1</v>
      </c>
      <c r="V101" s="66">
        <f t="shared" si="561"/>
        <v>0</v>
      </c>
      <c r="W101" s="67">
        <f t="shared" si="562"/>
        <v>0</v>
      </c>
      <c r="X101" s="48"/>
      <c r="Y101" s="178">
        <f t="shared" si="603"/>
        <v>4828.732</v>
      </c>
      <c r="Z101" s="178">
        <f t="shared" si="604"/>
        <v>8927.576</v>
      </c>
      <c r="AA101" s="174">
        <f t="shared" si="605"/>
        <v>14850.877</v>
      </c>
      <c r="AB101" s="95" t="str">
        <f t="shared" si="606"/>
        <v/>
      </c>
      <c r="AC101" s="125"/>
      <c r="AD101" s="66">
        <f t="shared" si="567"/>
        <v>-10022.145</v>
      </c>
      <c r="AE101" s="67">
        <f t="shared" si="568"/>
        <v>-0.6748520643</v>
      </c>
      <c r="AF101" s="66">
        <f t="shared" si="569"/>
        <v>4828.732</v>
      </c>
      <c r="AG101" s="67">
        <f t="shared" si="570"/>
        <v>0</v>
      </c>
      <c r="AH101" s="179"/>
      <c r="AI101" s="47" t="str">
        <f t="shared" si="607"/>
        <v/>
      </c>
      <c r="AJ101" s="47" t="str">
        <f t="shared" ref="AJ101:AT101" si="608">IFERROR(IF(AJ$3="A",CN101,IF(AJ$3="F",DB101,IF(AJ$3="B",BL101,0))),"")</f>
        <v/>
      </c>
      <c r="AK101" s="47" t="str">
        <f t="shared" si="608"/>
        <v/>
      </c>
      <c r="AL101" s="47" t="str">
        <f t="shared" si="608"/>
        <v/>
      </c>
      <c r="AM101" s="47" t="str">
        <f t="shared" si="608"/>
        <v/>
      </c>
      <c r="AN101" s="47" t="str">
        <f t="shared" si="608"/>
        <v/>
      </c>
      <c r="AO101" s="47" t="str">
        <f t="shared" si="608"/>
        <v/>
      </c>
      <c r="AP101" s="47" t="str">
        <f t="shared" si="608"/>
        <v/>
      </c>
      <c r="AQ101" s="47" t="str">
        <f t="shared" si="608"/>
        <v/>
      </c>
      <c r="AR101" s="47">
        <f t="shared" si="608"/>
        <v>1974.492</v>
      </c>
      <c r="AS101" s="47">
        <f t="shared" si="608"/>
        <v>1324.727</v>
      </c>
      <c r="AT101" s="47">
        <f t="shared" si="608"/>
        <v>1529.513</v>
      </c>
      <c r="AU101" s="180">
        <f t="shared" si="609"/>
        <v>4828.732</v>
      </c>
      <c r="AV101" s="127"/>
      <c r="AW101" s="47" t="str">
        <f t="shared" ref="AW101:BH101" si="610">IFERROR(IF(AW$3="A",CM101,IF(AW$3="B",BK101)),0)</f>
        <v/>
      </c>
      <c r="AX101" s="47" t="str">
        <f t="shared" si="610"/>
        <v/>
      </c>
      <c r="AY101" s="47" t="str">
        <f t="shared" si="610"/>
        <v/>
      </c>
      <c r="AZ101" s="47" t="str">
        <f t="shared" si="610"/>
        <v/>
      </c>
      <c r="BA101" s="47" t="str">
        <f t="shared" si="610"/>
        <v/>
      </c>
      <c r="BB101" s="47" t="str">
        <f t="shared" si="610"/>
        <v/>
      </c>
      <c r="BC101" s="47">
        <f t="shared" si="610"/>
        <v>1124.076</v>
      </c>
      <c r="BD101" s="47">
        <f t="shared" si="610"/>
        <v>1124.79</v>
      </c>
      <c r="BE101" s="47">
        <f t="shared" si="610"/>
        <v>1849.978</v>
      </c>
      <c r="BF101" s="47">
        <f t="shared" si="610"/>
        <v>1974.492</v>
      </c>
      <c r="BG101" s="47">
        <f t="shared" si="610"/>
        <v>1324.727</v>
      </c>
      <c r="BH101" s="47">
        <f t="shared" si="610"/>
        <v>1529.513</v>
      </c>
      <c r="BI101" s="180">
        <f t="shared" si="611"/>
        <v>8927.576</v>
      </c>
      <c r="BJ101" s="179"/>
      <c r="BK101" s="128">
        <v>1145.438</v>
      </c>
      <c r="BL101" s="128">
        <v>944.708</v>
      </c>
      <c r="BM101" s="128">
        <v>861.569</v>
      </c>
      <c r="BN101" s="128">
        <v>1205.015</v>
      </c>
      <c r="BO101" s="128">
        <v>786.0</v>
      </c>
      <c r="BP101" s="128">
        <v>980.571</v>
      </c>
      <c r="BQ101" s="128">
        <v>1124.076</v>
      </c>
      <c r="BR101" s="128">
        <v>1124.79</v>
      </c>
      <c r="BS101" s="128">
        <v>1849.978</v>
      </c>
      <c r="BT101" s="128">
        <v>1974.492</v>
      </c>
      <c r="BU101" s="128">
        <v>1324.727</v>
      </c>
      <c r="BV101" s="128">
        <v>1529.513</v>
      </c>
      <c r="BW101" s="181">
        <v>14850.877</v>
      </c>
      <c r="BX101" s="182"/>
      <c r="BY101" s="47"/>
      <c r="BZ101" s="47"/>
      <c r="CA101" s="47"/>
      <c r="CB101" s="47"/>
      <c r="CC101" s="47"/>
      <c r="CD101" s="47"/>
      <c r="CE101" s="47"/>
      <c r="CF101" s="47"/>
      <c r="CG101" s="47"/>
      <c r="CH101" s="47"/>
      <c r="CI101" s="47"/>
      <c r="CJ101" s="47"/>
      <c r="CK101" s="180"/>
      <c r="CL101" s="178"/>
      <c r="CM101" s="47"/>
      <c r="CN101" s="47"/>
      <c r="CO101" s="47"/>
      <c r="CP101" s="47"/>
      <c r="CQ101" s="47"/>
      <c r="CR101" s="47"/>
      <c r="CS101" s="47"/>
      <c r="CT101" s="47"/>
      <c r="CU101" s="47"/>
      <c r="CV101" s="47"/>
      <c r="CW101" s="47"/>
      <c r="CX101" s="47"/>
      <c r="CY101" s="180"/>
      <c r="CZ101" s="183"/>
      <c r="DA101" s="47">
        <f t="shared" si="612"/>
        <v>1145.438</v>
      </c>
      <c r="DB101" s="47"/>
      <c r="DC101" s="47"/>
      <c r="DD101" s="47"/>
      <c r="DE101" s="47"/>
      <c r="DF101" s="47"/>
      <c r="DG101" s="47"/>
      <c r="DH101" s="47"/>
      <c r="DI101" s="47"/>
      <c r="DJ101" s="47"/>
      <c r="DK101" s="47"/>
      <c r="DL101" s="47"/>
      <c r="DM101" s="180">
        <f t="shared" si="613"/>
        <v>1145.438</v>
      </c>
      <c r="DN101" s="182"/>
      <c r="DO101" s="130"/>
      <c r="DP101" s="130"/>
      <c r="DQ101" s="131"/>
    </row>
    <row r="102" outlineLevel="3">
      <c r="A102" s="154"/>
      <c r="B102" s="173" t="s">
        <v>109</v>
      </c>
      <c r="C102" s="124"/>
      <c r="D102" s="174">
        <f t="shared" si="596"/>
        <v>0</v>
      </c>
      <c r="E102" s="174">
        <f t="shared" si="597"/>
        <v>0</v>
      </c>
      <c r="F102" s="174">
        <f t="shared" si="598"/>
        <v>10504.214</v>
      </c>
      <c r="G102" s="174">
        <f t="shared" si="599"/>
        <v>0</v>
      </c>
      <c r="H102" s="175"/>
      <c r="I102" s="176">
        <f t="shared" si="550"/>
        <v>0</v>
      </c>
      <c r="J102" s="177">
        <f t="shared" si="551"/>
        <v>0</v>
      </c>
      <c r="K102" s="176">
        <f t="shared" si="552"/>
        <v>-10504.214</v>
      </c>
      <c r="L102" s="177">
        <f t="shared" si="553"/>
        <v>-1</v>
      </c>
      <c r="M102" s="176">
        <f t="shared" si="554"/>
        <v>0</v>
      </c>
      <c r="N102" s="177">
        <f t="shared" si="555"/>
        <v>0</v>
      </c>
      <c r="O102" s="175"/>
      <c r="P102" s="174">
        <f t="shared" si="600"/>
        <v>0</v>
      </c>
      <c r="Q102" s="174">
        <f t="shared" si="601"/>
        <v>61099.577</v>
      </c>
      <c r="R102" s="174">
        <f t="shared" si="602"/>
        <v>0</v>
      </c>
      <c r="S102" s="48"/>
      <c r="T102" s="66">
        <f t="shared" si="559"/>
        <v>-61099.577</v>
      </c>
      <c r="U102" s="67">
        <f t="shared" si="560"/>
        <v>-1</v>
      </c>
      <c r="V102" s="66">
        <f t="shared" si="561"/>
        <v>0</v>
      </c>
      <c r="W102" s="67">
        <f t="shared" si="562"/>
        <v>0</v>
      </c>
      <c r="X102" s="48"/>
      <c r="Y102" s="178">
        <f t="shared" si="603"/>
        <v>24639.7</v>
      </c>
      <c r="Z102" s="178">
        <f t="shared" si="604"/>
        <v>95439.33</v>
      </c>
      <c r="AA102" s="174">
        <f t="shared" si="605"/>
        <v>156538.907</v>
      </c>
      <c r="AB102" s="95" t="str">
        <f t="shared" si="606"/>
        <v/>
      </c>
      <c r="AC102" s="125"/>
      <c r="AD102" s="66">
        <f t="shared" si="567"/>
        <v>-131899.207</v>
      </c>
      <c r="AE102" s="67">
        <f t="shared" si="568"/>
        <v>-0.842596959</v>
      </c>
      <c r="AF102" s="66">
        <f t="shared" si="569"/>
        <v>24639.7</v>
      </c>
      <c r="AG102" s="67">
        <f t="shared" si="570"/>
        <v>0</v>
      </c>
      <c r="AH102" s="179"/>
      <c r="AI102" s="47" t="str">
        <f t="shared" si="607"/>
        <v/>
      </c>
      <c r="AJ102" s="47" t="str">
        <f t="shared" ref="AJ102:AT102" si="614">IFERROR(IF(AJ$3="A",CN102,IF(AJ$3="F",DB102,IF(AJ$3="B",BL102,0))),"")</f>
        <v/>
      </c>
      <c r="AK102" s="47" t="str">
        <f t="shared" si="614"/>
        <v/>
      </c>
      <c r="AL102" s="47" t="str">
        <f t="shared" si="614"/>
        <v/>
      </c>
      <c r="AM102" s="47" t="str">
        <f t="shared" si="614"/>
        <v/>
      </c>
      <c r="AN102" s="47" t="str">
        <f t="shared" si="614"/>
        <v/>
      </c>
      <c r="AO102" s="47" t="str">
        <f t="shared" si="614"/>
        <v/>
      </c>
      <c r="AP102" s="47" t="str">
        <f t="shared" si="614"/>
        <v/>
      </c>
      <c r="AQ102" s="47" t="str">
        <f t="shared" si="614"/>
        <v/>
      </c>
      <c r="AR102" s="47">
        <f t="shared" si="614"/>
        <v>9635.276</v>
      </c>
      <c r="AS102" s="47">
        <f t="shared" si="614"/>
        <v>6735.527</v>
      </c>
      <c r="AT102" s="47">
        <f t="shared" si="614"/>
        <v>8268.897</v>
      </c>
      <c r="AU102" s="180">
        <f t="shared" si="609"/>
        <v>24639.7</v>
      </c>
      <c r="AV102" s="127"/>
      <c r="AW102" s="47" t="str">
        <f t="shared" ref="AW102:BH102" si="615">IFERROR(IF(AW$3="A",CM102,IF(AW$3="B",BK102)),0)</f>
        <v/>
      </c>
      <c r="AX102" s="47" t="str">
        <f t="shared" si="615"/>
        <v/>
      </c>
      <c r="AY102" s="47" t="str">
        <f t="shared" si="615"/>
        <v/>
      </c>
      <c r="AZ102" s="47" t="str">
        <f t="shared" si="615"/>
        <v/>
      </c>
      <c r="BA102" s="47" t="str">
        <f t="shared" si="615"/>
        <v/>
      </c>
      <c r="BB102" s="47" t="str">
        <f t="shared" si="615"/>
        <v/>
      </c>
      <c r="BC102" s="47">
        <f t="shared" si="615"/>
        <v>27330.671</v>
      </c>
      <c r="BD102" s="47">
        <f t="shared" si="615"/>
        <v>25326.838</v>
      </c>
      <c r="BE102" s="47">
        <f t="shared" si="615"/>
        <v>18142.121</v>
      </c>
      <c r="BF102" s="47">
        <f t="shared" si="615"/>
        <v>9635.276</v>
      </c>
      <c r="BG102" s="47">
        <f t="shared" si="615"/>
        <v>6735.527</v>
      </c>
      <c r="BH102" s="47">
        <f t="shared" si="615"/>
        <v>8268.897</v>
      </c>
      <c r="BI102" s="180">
        <f t="shared" si="611"/>
        <v>95439.33</v>
      </c>
      <c r="BJ102" s="179"/>
      <c r="BK102" s="128">
        <v>15752.681</v>
      </c>
      <c r="BL102" s="128">
        <v>11111.683</v>
      </c>
      <c r="BM102" s="128">
        <v>8513.326</v>
      </c>
      <c r="BN102" s="128">
        <v>8553.932</v>
      </c>
      <c r="BO102" s="128">
        <v>6663.741</v>
      </c>
      <c r="BP102" s="128">
        <v>10504.214</v>
      </c>
      <c r="BQ102" s="128">
        <v>27330.671</v>
      </c>
      <c r="BR102" s="128">
        <v>25326.838</v>
      </c>
      <c r="BS102" s="128">
        <v>18142.121</v>
      </c>
      <c r="BT102" s="128">
        <v>9635.276</v>
      </c>
      <c r="BU102" s="128">
        <v>6735.527</v>
      </c>
      <c r="BV102" s="128">
        <v>8268.897</v>
      </c>
      <c r="BW102" s="181">
        <v>156538.907</v>
      </c>
      <c r="BX102" s="182"/>
      <c r="BY102" s="47"/>
      <c r="BZ102" s="47"/>
      <c r="CA102" s="47"/>
      <c r="CB102" s="47"/>
      <c r="CC102" s="47"/>
      <c r="CD102" s="47"/>
      <c r="CE102" s="47"/>
      <c r="CF102" s="47"/>
      <c r="CG102" s="47"/>
      <c r="CH102" s="47"/>
      <c r="CI102" s="47"/>
      <c r="CJ102" s="47"/>
      <c r="CK102" s="180"/>
      <c r="CL102" s="178"/>
      <c r="CM102" s="47"/>
      <c r="CN102" s="47"/>
      <c r="CO102" s="47"/>
      <c r="CP102" s="47"/>
      <c r="CQ102" s="47"/>
      <c r="CR102" s="47"/>
      <c r="CS102" s="47"/>
      <c r="CT102" s="47"/>
      <c r="CU102" s="47"/>
      <c r="CV102" s="47"/>
      <c r="CW102" s="47"/>
      <c r="CX102" s="47"/>
      <c r="CY102" s="180"/>
      <c r="CZ102" s="183"/>
      <c r="DA102" s="47">
        <f t="shared" si="612"/>
        <v>15752.681</v>
      </c>
      <c r="DB102" s="47"/>
      <c r="DC102" s="47"/>
      <c r="DD102" s="47"/>
      <c r="DE102" s="47"/>
      <c r="DF102" s="47"/>
      <c r="DG102" s="47"/>
      <c r="DH102" s="47"/>
      <c r="DI102" s="47"/>
      <c r="DJ102" s="47"/>
      <c r="DK102" s="47"/>
      <c r="DL102" s="47"/>
      <c r="DM102" s="180">
        <f t="shared" si="613"/>
        <v>15752.681</v>
      </c>
      <c r="DN102" s="182"/>
      <c r="DO102" s="130"/>
      <c r="DP102" s="130"/>
      <c r="DQ102" s="131"/>
    </row>
    <row r="103" outlineLevel="3">
      <c r="A103" s="154"/>
      <c r="B103" s="173" t="s">
        <v>110</v>
      </c>
      <c r="C103" s="124"/>
      <c r="D103" s="174">
        <f t="shared" si="596"/>
        <v>0</v>
      </c>
      <c r="E103" s="174">
        <f t="shared" si="597"/>
        <v>0</v>
      </c>
      <c r="F103" s="174">
        <f t="shared" si="598"/>
        <v>6046.857</v>
      </c>
      <c r="G103" s="174">
        <f t="shared" si="599"/>
        <v>0</v>
      </c>
      <c r="H103" s="175"/>
      <c r="I103" s="176">
        <f t="shared" si="550"/>
        <v>0</v>
      </c>
      <c r="J103" s="177">
        <f t="shared" si="551"/>
        <v>0</v>
      </c>
      <c r="K103" s="176">
        <f t="shared" si="552"/>
        <v>-6046.857</v>
      </c>
      <c r="L103" s="177">
        <f t="shared" si="553"/>
        <v>-1</v>
      </c>
      <c r="M103" s="176">
        <f t="shared" si="554"/>
        <v>0</v>
      </c>
      <c r="N103" s="177">
        <f t="shared" si="555"/>
        <v>0</v>
      </c>
      <c r="O103" s="175"/>
      <c r="P103" s="174">
        <f t="shared" si="600"/>
        <v>0</v>
      </c>
      <c r="Q103" s="174">
        <f t="shared" si="601"/>
        <v>27728.586</v>
      </c>
      <c r="R103" s="174">
        <f t="shared" si="602"/>
        <v>0</v>
      </c>
      <c r="S103" s="48"/>
      <c r="T103" s="66">
        <f t="shared" si="559"/>
        <v>-27728.586</v>
      </c>
      <c r="U103" s="67">
        <f t="shared" si="560"/>
        <v>-1</v>
      </c>
      <c r="V103" s="66">
        <f t="shared" si="561"/>
        <v>0</v>
      </c>
      <c r="W103" s="67">
        <f t="shared" si="562"/>
        <v>0</v>
      </c>
      <c r="X103" s="48"/>
      <c r="Y103" s="178">
        <f t="shared" si="603"/>
        <v>12790.711</v>
      </c>
      <c r="Z103" s="178">
        <f t="shared" si="604"/>
        <v>37600.398</v>
      </c>
      <c r="AA103" s="174">
        <f t="shared" si="605"/>
        <v>65328.984</v>
      </c>
      <c r="AB103" s="95" t="str">
        <f t="shared" si="606"/>
        <v/>
      </c>
      <c r="AC103" s="125"/>
      <c r="AD103" s="66">
        <f t="shared" si="567"/>
        <v>-52538.273</v>
      </c>
      <c r="AE103" s="67">
        <f t="shared" si="568"/>
        <v>-0.8042107773</v>
      </c>
      <c r="AF103" s="66">
        <f t="shared" si="569"/>
        <v>12790.711</v>
      </c>
      <c r="AG103" s="67">
        <f t="shared" si="570"/>
        <v>0</v>
      </c>
      <c r="AH103" s="179"/>
      <c r="AI103" s="47" t="str">
        <f t="shared" si="607"/>
        <v/>
      </c>
      <c r="AJ103" s="47" t="str">
        <f t="shared" ref="AJ103:AT103" si="616">IFERROR(IF(AJ$3="A",CN103,IF(AJ$3="F",DB103,IF(AJ$3="B",BL103,0))),"")</f>
        <v/>
      </c>
      <c r="AK103" s="47" t="str">
        <f t="shared" si="616"/>
        <v/>
      </c>
      <c r="AL103" s="47" t="str">
        <f t="shared" si="616"/>
        <v/>
      </c>
      <c r="AM103" s="47" t="str">
        <f t="shared" si="616"/>
        <v/>
      </c>
      <c r="AN103" s="47" t="str">
        <f t="shared" si="616"/>
        <v/>
      </c>
      <c r="AO103" s="47" t="str">
        <f t="shared" si="616"/>
        <v/>
      </c>
      <c r="AP103" s="47" t="str">
        <f t="shared" si="616"/>
        <v/>
      </c>
      <c r="AQ103" s="47" t="str">
        <f t="shared" si="616"/>
        <v/>
      </c>
      <c r="AR103" s="47">
        <f t="shared" si="616"/>
        <v>5983.31</v>
      </c>
      <c r="AS103" s="47">
        <f t="shared" si="616"/>
        <v>3159.5</v>
      </c>
      <c r="AT103" s="47">
        <f t="shared" si="616"/>
        <v>3647.901</v>
      </c>
      <c r="AU103" s="180">
        <f t="shared" si="609"/>
        <v>12790.711</v>
      </c>
      <c r="AV103" s="127"/>
      <c r="AW103" s="47" t="str">
        <f t="shared" ref="AW103:BH103" si="617">IFERROR(IF(AW$3="A",CM103,IF(AW$3="B",BK103)),0)</f>
        <v/>
      </c>
      <c r="AX103" s="47" t="str">
        <f t="shared" si="617"/>
        <v/>
      </c>
      <c r="AY103" s="47" t="str">
        <f t="shared" si="617"/>
        <v/>
      </c>
      <c r="AZ103" s="47" t="str">
        <f t="shared" si="617"/>
        <v/>
      </c>
      <c r="BA103" s="47" t="str">
        <f t="shared" si="617"/>
        <v/>
      </c>
      <c r="BB103" s="47" t="str">
        <f t="shared" si="617"/>
        <v/>
      </c>
      <c r="BC103" s="47">
        <f t="shared" si="617"/>
        <v>9747.57</v>
      </c>
      <c r="BD103" s="47">
        <f t="shared" si="617"/>
        <v>9034.834</v>
      </c>
      <c r="BE103" s="47">
        <f t="shared" si="617"/>
        <v>6027.283</v>
      </c>
      <c r="BF103" s="47">
        <f t="shared" si="617"/>
        <v>5983.31</v>
      </c>
      <c r="BG103" s="47">
        <f t="shared" si="617"/>
        <v>3159.5</v>
      </c>
      <c r="BH103" s="47">
        <f t="shared" si="617"/>
        <v>3647.901</v>
      </c>
      <c r="BI103" s="180">
        <f t="shared" si="611"/>
        <v>37600.398</v>
      </c>
      <c r="BJ103" s="179"/>
      <c r="BK103" s="128">
        <v>5736.485</v>
      </c>
      <c r="BL103" s="128">
        <v>4279.17</v>
      </c>
      <c r="BM103" s="128">
        <v>3591.293</v>
      </c>
      <c r="BN103" s="128">
        <v>3407.906</v>
      </c>
      <c r="BO103" s="128">
        <v>4666.875</v>
      </c>
      <c r="BP103" s="128">
        <v>6046.857</v>
      </c>
      <c r="BQ103" s="128">
        <v>9747.57</v>
      </c>
      <c r="BR103" s="128">
        <v>9034.834</v>
      </c>
      <c r="BS103" s="128">
        <v>6027.283</v>
      </c>
      <c r="BT103" s="128">
        <v>5983.31</v>
      </c>
      <c r="BU103" s="128">
        <v>3159.5</v>
      </c>
      <c r="BV103" s="128">
        <v>3647.901</v>
      </c>
      <c r="BW103" s="181">
        <v>65328.984</v>
      </c>
      <c r="BX103" s="182"/>
      <c r="BY103" s="47"/>
      <c r="BZ103" s="47"/>
      <c r="CA103" s="47"/>
      <c r="CB103" s="47"/>
      <c r="CC103" s="47"/>
      <c r="CD103" s="47"/>
      <c r="CE103" s="47"/>
      <c r="CF103" s="47"/>
      <c r="CG103" s="47"/>
      <c r="CH103" s="47"/>
      <c r="CI103" s="47"/>
      <c r="CJ103" s="47"/>
      <c r="CK103" s="180"/>
      <c r="CL103" s="178"/>
      <c r="CM103" s="47"/>
      <c r="CN103" s="47"/>
      <c r="CO103" s="47"/>
      <c r="CP103" s="47"/>
      <c r="CQ103" s="47"/>
      <c r="CR103" s="47"/>
      <c r="CS103" s="47"/>
      <c r="CT103" s="47"/>
      <c r="CU103" s="47"/>
      <c r="CV103" s="47"/>
      <c r="CW103" s="47"/>
      <c r="CX103" s="47"/>
      <c r="CY103" s="180"/>
      <c r="CZ103" s="183"/>
      <c r="DA103" s="47">
        <f t="shared" si="612"/>
        <v>5736.485</v>
      </c>
      <c r="DB103" s="47"/>
      <c r="DC103" s="47"/>
      <c r="DD103" s="47"/>
      <c r="DE103" s="47"/>
      <c r="DF103" s="47"/>
      <c r="DG103" s="47"/>
      <c r="DH103" s="47"/>
      <c r="DI103" s="47"/>
      <c r="DJ103" s="47"/>
      <c r="DK103" s="47"/>
      <c r="DL103" s="47"/>
      <c r="DM103" s="180">
        <f t="shared" si="613"/>
        <v>5736.485</v>
      </c>
      <c r="DN103" s="182"/>
      <c r="DO103" s="130"/>
      <c r="DP103" s="130"/>
      <c r="DQ103" s="131"/>
    </row>
    <row r="104" outlineLevel="3">
      <c r="A104" s="15"/>
      <c r="B104" s="173" t="s">
        <v>111</v>
      </c>
      <c r="C104" s="124"/>
      <c r="D104" s="174">
        <f t="shared" si="596"/>
        <v>0</v>
      </c>
      <c r="E104" s="174">
        <f t="shared" si="597"/>
        <v>0</v>
      </c>
      <c r="F104" s="174">
        <f t="shared" si="598"/>
        <v>0</v>
      </c>
      <c r="G104" s="174">
        <f t="shared" si="599"/>
        <v>0</v>
      </c>
      <c r="H104" s="175"/>
      <c r="I104" s="176">
        <f t="shared" si="550"/>
        <v>0</v>
      </c>
      <c r="J104" s="177">
        <f t="shared" si="551"/>
        <v>0</v>
      </c>
      <c r="K104" s="176">
        <f t="shared" si="552"/>
        <v>0</v>
      </c>
      <c r="L104" s="177">
        <f t="shared" si="553"/>
        <v>0</v>
      </c>
      <c r="M104" s="176">
        <f t="shared" si="554"/>
        <v>0</v>
      </c>
      <c r="N104" s="177">
        <f t="shared" si="555"/>
        <v>0</v>
      </c>
      <c r="O104" s="175"/>
      <c r="P104" s="174">
        <f t="shared" si="600"/>
        <v>0</v>
      </c>
      <c r="Q104" s="174">
        <f t="shared" si="601"/>
        <v>0</v>
      </c>
      <c r="R104" s="174">
        <f t="shared" si="602"/>
        <v>0</v>
      </c>
      <c r="S104" s="48"/>
      <c r="T104" s="66">
        <f t="shared" si="559"/>
        <v>0</v>
      </c>
      <c r="U104" s="67">
        <f t="shared" si="560"/>
        <v>0</v>
      </c>
      <c r="V104" s="66">
        <f t="shared" si="561"/>
        <v>0</v>
      </c>
      <c r="W104" s="67">
        <f t="shared" si="562"/>
        <v>0</v>
      </c>
      <c r="X104" s="48"/>
      <c r="Y104" s="178">
        <f t="shared" si="603"/>
        <v>0</v>
      </c>
      <c r="Z104" s="178">
        <f t="shared" si="604"/>
        <v>0</v>
      </c>
      <c r="AA104" s="174">
        <f t="shared" si="605"/>
        <v>0</v>
      </c>
      <c r="AB104" s="95" t="str">
        <f t="shared" si="606"/>
        <v/>
      </c>
      <c r="AC104" s="125"/>
      <c r="AD104" s="66">
        <f t="shared" si="567"/>
        <v>0</v>
      </c>
      <c r="AE104" s="67">
        <f t="shared" si="568"/>
        <v>0</v>
      </c>
      <c r="AF104" s="66">
        <f t="shared" si="569"/>
        <v>0</v>
      </c>
      <c r="AG104" s="67">
        <f t="shared" si="570"/>
        <v>0</v>
      </c>
      <c r="AH104" s="179"/>
      <c r="AI104" s="47" t="str">
        <f t="shared" si="607"/>
        <v/>
      </c>
      <c r="AJ104" s="47" t="str">
        <f t="shared" ref="AJ104:AT104" si="618">IFERROR(IF(AJ$3="A",CN104,IF(AJ$3="F",DB104,IF(AJ$3="B",BL104,0))),"")</f>
        <v/>
      </c>
      <c r="AK104" s="47" t="str">
        <f t="shared" si="618"/>
        <v/>
      </c>
      <c r="AL104" s="47" t="str">
        <f t="shared" si="618"/>
        <v/>
      </c>
      <c r="AM104" s="47" t="str">
        <f t="shared" si="618"/>
        <v/>
      </c>
      <c r="AN104" s="47" t="str">
        <f t="shared" si="618"/>
        <v/>
      </c>
      <c r="AO104" s="47" t="str">
        <f t="shared" si="618"/>
        <v/>
      </c>
      <c r="AP104" s="47" t="str">
        <f t="shared" si="618"/>
        <v/>
      </c>
      <c r="AQ104" s="47" t="str">
        <f t="shared" si="618"/>
        <v/>
      </c>
      <c r="AR104" s="47">
        <f t="shared" si="618"/>
        <v>0</v>
      </c>
      <c r="AS104" s="47">
        <f t="shared" si="618"/>
        <v>0</v>
      </c>
      <c r="AT104" s="47">
        <f t="shared" si="618"/>
        <v>0</v>
      </c>
      <c r="AU104" s="180">
        <f t="shared" si="609"/>
        <v>0</v>
      </c>
      <c r="AV104" s="127"/>
      <c r="AW104" s="47" t="str">
        <f t="shared" ref="AW104:BH104" si="619">IFERROR(IF(AW$3="A",CM104,IF(AW$3="B",BK104)),0)</f>
        <v/>
      </c>
      <c r="AX104" s="47" t="str">
        <f t="shared" si="619"/>
        <v/>
      </c>
      <c r="AY104" s="47" t="str">
        <f t="shared" si="619"/>
        <v/>
      </c>
      <c r="AZ104" s="47" t="str">
        <f t="shared" si="619"/>
        <v/>
      </c>
      <c r="BA104" s="47" t="str">
        <f t="shared" si="619"/>
        <v/>
      </c>
      <c r="BB104" s="47" t="str">
        <f t="shared" si="619"/>
        <v/>
      </c>
      <c r="BC104" s="47">
        <f t="shared" si="619"/>
        <v>0</v>
      </c>
      <c r="BD104" s="47">
        <f t="shared" si="619"/>
        <v>0</v>
      </c>
      <c r="BE104" s="47">
        <f t="shared" si="619"/>
        <v>0</v>
      </c>
      <c r="BF104" s="47">
        <f t="shared" si="619"/>
        <v>0</v>
      </c>
      <c r="BG104" s="47">
        <f t="shared" si="619"/>
        <v>0</v>
      </c>
      <c r="BH104" s="47">
        <f t="shared" si="619"/>
        <v>0</v>
      </c>
      <c r="BI104" s="180">
        <f t="shared" si="611"/>
        <v>0</v>
      </c>
      <c r="BJ104" s="179"/>
      <c r="BK104" s="128">
        <v>0.0</v>
      </c>
      <c r="BL104" s="128">
        <v>0.0</v>
      </c>
      <c r="BM104" s="128">
        <v>0.0</v>
      </c>
      <c r="BN104" s="128">
        <v>0.0</v>
      </c>
      <c r="BO104" s="128">
        <v>0.0</v>
      </c>
      <c r="BP104" s="128">
        <v>0.0</v>
      </c>
      <c r="BQ104" s="128">
        <v>0.0</v>
      </c>
      <c r="BR104" s="128">
        <v>0.0</v>
      </c>
      <c r="BS104" s="128">
        <v>0.0</v>
      </c>
      <c r="BT104" s="128">
        <v>0.0</v>
      </c>
      <c r="BU104" s="128">
        <v>0.0</v>
      </c>
      <c r="BV104" s="128">
        <v>0.0</v>
      </c>
      <c r="BW104" s="181">
        <v>0.0</v>
      </c>
      <c r="BX104" s="182"/>
      <c r="BY104" s="47"/>
      <c r="BZ104" s="47"/>
      <c r="CA104" s="47"/>
      <c r="CB104" s="47"/>
      <c r="CC104" s="47"/>
      <c r="CD104" s="47"/>
      <c r="CE104" s="47"/>
      <c r="CF104" s="47"/>
      <c r="CG104" s="47"/>
      <c r="CH104" s="47"/>
      <c r="CI104" s="47"/>
      <c r="CJ104" s="47"/>
      <c r="CK104" s="180"/>
      <c r="CL104" s="178"/>
      <c r="CM104" s="47"/>
      <c r="CN104" s="47"/>
      <c r="CO104" s="47"/>
      <c r="CP104" s="47"/>
      <c r="CQ104" s="47"/>
      <c r="CR104" s="47"/>
      <c r="CS104" s="47"/>
      <c r="CT104" s="47"/>
      <c r="CU104" s="47"/>
      <c r="CV104" s="47"/>
      <c r="CW104" s="47"/>
      <c r="CX104" s="47"/>
      <c r="CY104" s="180"/>
      <c r="CZ104" s="183"/>
      <c r="DA104" s="47">
        <f t="shared" si="612"/>
        <v>0</v>
      </c>
      <c r="DB104" s="47"/>
      <c r="DC104" s="47"/>
      <c r="DD104" s="47"/>
      <c r="DE104" s="47"/>
      <c r="DF104" s="47"/>
      <c r="DG104" s="47"/>
      <c r="DH104" s="47"/>
      <c r="DI104" s="47"/>
      <c r="DJ104" s="47"/>
      <c r="DK104" s="47"/>
      <c r="DL104" s="47"/>
      <c r="DM104" s="180">
        <f t="shared" si="613"/>
        <v>0</v>
      </c>
      <c r="DN104" s="182"/>
      <c r="DO104" s="130"/>
      <c r="DP104" s="130"/>
      <c r="DQ104" s="131"/>
    </row>
    <row r="105" outlineLevel="3">
      <c r="A105" s="154"/>
      <c r="B105" s="173" t="s">
        <v>112</v>
      </c>
      <c r="C105" s="124"/>
      <c r="D105" s="174">
        <f t="shared" si="596"/>
        <v>0</v>
      </c>
      <c r="E105" s="174">
        <f t="shared" si="597"/>
        <v>0</v>
      </c>
      <c r="F105" s="174">
        <f t="shared" si="598"/>
        <v>5092.434</v>
      </c>
      <c r="G105" s="174">
        <f t="shared" si="599"/>
        <v>0</v>
      </c>
      <c r="H105" s="175"/>
      <c r="I105" s="176">
        <f t="shared" si="550"/>
        <v>0</v>
      </c>
      <c r="J105" s="177">
        <f t="shared" si="551"/>
        <v>0</v>
      </c>
      <c r="K105" s="176">
        <f t="shared" si="552"/>
        <v>-5092.434</v>
      </c>
      <c r="L105" s="177">
        <f t="shared" si="553"/>
        <v>-1</v>
      </c>
      <c r="M105" s="176">
        <f t="shared" si="554"/>
        <v>0</v>
      </c>
      <c r="N105" s="177">
        <f t="shared" si="555"/>
        <v>0</v>
      </c>
      <c r="O105" s="175"/>
      <c r="P105" s="174">
        <f t="shared" si="600"/>
        <v>0</v>
      </c>
      <c r="Q105" s="174">
        <f t="shared" si="601"/>
        <v>32033.738</v>
      </c>
      <c r="R105" s="174">
        <f t="shared" si="602"/>
        <v>0</v>
      </c>
      <c r="S105" s="48"/>
      <c r="T105" s="66">
        <f t="shared" si="559"/>
        <v>-32033.738</v>
      </c>
      <c r="U105" s="67">
        <f t="shared" si="560"/>
        <v>-1</v>
      </c>
      <c r="V105" s="66">
        <f t="shared" si="561"/>
        <v>0</v>
      </c>
      <c r="W105" s="67">
        <f t="shared" si="562"/>
        <v>0</v>
      </c>
      <c r="X105" s="48"/>
      <c r="Y105" s="178">
        <f t="shared" si="603"/>
        <v>9928.945</v>
      </c>
      <c r="Z105" s="178">
        <f t="shared" si="604"/>
        <v>39735.404</v>
      </c>
      <c r="AA105" s="174">
        <f t="shared" si="605"/>
        <v>71769.142</v>
      </c>
      <c r="AB105" s="95" t="str">
        <f t="shared" si="606"/>
        <v/>
      </c>
      <c r="AC105" s="125"/>
      <c r="AD105" s="66">
        <f t="shared" si="567"/>
        <v>-61840.197</v>
      </c>
      <c r="AE105" s="67">
        <f t="shared" si="568"/>
        <v>-0.8616544002</v>
      </c>
      <c r="AF105" s="66">
        <f t="shared" si="569"/>
        <v>9928.945</v>
      </c>
      <c r="AG105" s="67">
        <f t="shared" si="570"/>
        <v>0</v>
      </c>
      <c r="AH105" s="179"/>
      <c r="AI105" s="47" t="str">
        <f t="shared" si="607"/>
        <v/>
      </c>
      <c r="AJ105" s="47" t="str">
        <f t="shared" ref="AJ105:AT105" si="620">IFERROR(IF(AJ$3="A",CN105,IF(AJ$3="F",DB105,IF(AJ$3="B",BL105,0))),"")</f>
        <v/>
      </c>
      <c r="AK105" s="47" t="str">
        <f t="shared" si="620"/>
        <v/>
      </c>
      <c r="AL105" s="47" t="str">
        <f t="shared" si="620"/>
        <v/>
      </c>
      <c r="AM105" s="47" t="str">
        <f t="shared" si="620"/>
        <v/>
      </c>
      <c r="AN105" s="47" t="str">
        <f t="shared" si="620"/>
        <v/>
      </c>
      <c r="AO105" s="47" t="str">
        <f t="shared" si="620"/>
        <v/>
      </c>
      <c r="AP105" s="47" t="str">
        <f t="shared" si="620"/>
        <v/>
      </c>
      <c r="AQ105" s="47" t="str">
        <f t="shared" si="620"/>
        <v/>
      </c>
      <c r="AR105" s="47">
        <f t="shared" si="620"/>
        <v>4847.797</v>
      </c>
      <c r="AS105" s="47">
        <f t="shared" si="620"/>
        <v>2218.155</v>
      </c>
      <c r="AT105" s="47">
        <f t="shared" si="620"/>
        <v>2862.993</v>
      </c>
      <c r="AU105" s="180">
        <f t="shared" si="609"/>
        <v>9928.945</v>
      </c>
      <c r="AV105" s="127"/>
      <c r="AW105" s="47" t="str">
        <f t="shared" ref="AW105:BH105" si="621">IFERROR(IF(AW$3="A",CM105,IF(AW$3="B",BK105)),0)</f>
        <v/>
      </c>
      <c r="AX105" s="47" t="str">
        <f t="shared" si="621"/>
        <v/>
      </c>
      <c r="AY105" s="47" t="str">
        <f t="shared" si="621"/>
        <v/>
      </c>
      <c r="AZ105" s="47" t="str">
        <f t="shared" si="621"/>
        <v/>
      </c>
      <c r="BA105" s="47" t="str">
        <f t="shared" si="621"/>
        <v/>
      </c>
      <c r="BB105" s="47" t="str">
        <f t="shared" si="621"/>
        <v/>
      </c>
      <c r="BC105" s="47">
        <f t="shared" si="621"/>
        <v>11316.048</v>
      </c>
      <c r="BD105" s="47">
        <f t="shared" si="621"/>
        <v>9407.694</v>
      </c>
      <c r="BE105" s="47">
        <f t="shared" si="621"/>
        <v>9082.717</v>
      </c>
      <c r="BF105" s="47">
        <f t="shared" si="621"/>
        <v>4847.797</v>
      </c>
      <c r="BG105" s="47">
        <f t="shared" si="621"/>
        <v>2218.155</v>
      </c>
      <c r="BH105" s="47">
        <f t="shared" si="621"/>
        <v>2862.993</v>
      </c>
      <c r="BI105" s="180">
        <f t="shared" si="611"/>
        <v>39735.404</v>
      </c>
      <c r="BJ105" s="179"/>
      <c r="BK105" s="128">
        <v>9270.383</v>
      </c>
      <c r="BL105" s="128">
        <v>9197.202</v>
      </c>
      <c r="BM105" s="128">
        <v>6648.37</v>
      </c>
      <c r="BN105" s="128">
        <v>1669.786</v>
      </c>
      <c r="BO105" s="128">
        <v>155.563</v>
      </c>
      <c r="BP105" s="128">
        <v>5092.434</v>
      </c>
      <c r="BQ105" s="128">
        <v>11316.048</v>
      </c>
      <c r="BR105" s="128">
        <v>9407.694</v>
      </c>
      <c r="BS105" s="128">
        <v>9082.717</v>
      </c>
      <c r="BT105" s="128">
        <v>4847.797</v>
      </c>
      <c r="BU105" s="128">
        <v>2218.155</v>
      </c>
      <c r="BV105" s="128">
        <v>2862.993</v>
      </c>
      <c r="BW105" s="181">
        <v>71769.142</v>
      </c>
      <c r="BX105" s="182"/>
      <c r="BY105" s="47"/>
      <c r="BZ105" s="47"/>
      <c r="CA105" s="47"/>
      <c r="CB105" s="47"/>
      <c r="CC105" s="47"/>
      <c r="CD105" s="47"/>
      <c r="CE105" s="47"/>
      <c r="CF105" s="47"/>
      <c r="CG105" s="47"/>
      <c r="CH105" s="47"/>
      <c r="CI105" s="47"/>
      <c r="CJ105" s="47"/>
      <c r="CK105" s="180"/>
      <c r="CL105" s="178"/>
      <c r="CM105" s="47"/>
      <c r="CN105" s="47"/>
      <c r="CO105" s="47"/>
      <c r="CP105" s="47"/>
      <c r="CQ105" s="47"/>
      <c r="CR105" s="47"/>
      <c r="CS105" s="47"/>
      <c r="CT105" s="47"/>
      <c r="CU105" s="47"/>
      <c r="CV105" s="47"/>
      <c r="CW105" s="47"/>
      <c r="CX105" s="47"/>
      <c r="CY105" s="180"/>
      <c r="CZ105" s="183"/>
      <c r="DA105" s="47">
        <f t="shared" si="612"/>
        <v>9270.383</v>
      </c>
      <c r="DB105" s="47"/>
      <c r="DC105" s="47"/>
      <c r="DD105" s="47"/>
      <c r="DE105" s="47"/>
      <c r="DF105" s="47"/>
      <c r="DG105" s="47"/>
      <c r="DH105" s="47"/>
      <c r="DI105" s="47"/>
      <c r="DJ105" s="47"/>
      <c r="DK105" s="47"/>
      <c r="DL105" s="47"/>
      <c r="DM105" s="180">
        <f t="shared" si="613"/>
        <v>9270.383</v>
      </c>
      <c r="DN105" s="182"/>
      <c r="DO105" s="130"/>
      <c r="DP105" s="130"/>
      <c r="DQ105" s="131"/>
    </row>
    <row r="106" outlineLevel="3">
      <c r="A106" s="154"/>
      <c r="B106" s="173" t="s">
        <v>113</v>
      </c>
      <c r="C106" s="124"/>
      <c r="D106" s="174">
        <f t="shared" si="596"/>
        <v>0</v>
      </c>
      <c r="E106" s="174">
        <f t="shared" si="597"/>
        <v>0</v>
      </c>
      <c r="F106" s="174">
        <f t="shared" si="598"/>
        <v>0</v>
      </c>
      <c r="G106" s="174">
        <f t="shared" si="599"/>
        <v>0</v>
      </c>
      <c r="H106" s="175"/>
      <c r="I106" s="176">
        <f t="shared" si="550"/>
        <v>0</v>
      </c>
      <c r="J106" s="177">
        <f t="shared" si="551"/>
        <v>0</v>
      </c>
      <c r="K106" s="176">
        <f t="shared" si="552"/>
        <v>0</v>
      </c>
      <c r="L106" s="177">
        <f t="shared" si="553"/>
        <v>0</v>
      </c>
      <c r="M106" s="176">
        <f t="shared" si="554"/>
        <v>0</v>
      </c>
      <c r="N106" s="177">
        <f t="shared" si="555"/>
        <v>0</v>
      </c>
      <c r="O106" s="175"/>
      <c r="P106" s="174">
        <f t="shared" si="600"/>
        <v>0</v>
      </c>
      <c r="Q106" s="174">
        <f t="shared" si="601"/>
        <v>0</v>
      </c>
      <c r="R106" s="174">
        <f t="shared" si="602"/>
        <v>0</v>
      </c>
      <c r="S106" s="48"/>
      <c r="T106" s="66">
        <f t="shared" si="559"/>
        <v>0</v>
      </c>
      <c r="U106" s="67">
        <f t="shared" si="560"/>
        <v>0</v>
      </c>
      <c r="V106" s="66">
        <f t="shared" si="561"/>
        <v>0</v>
      </c>
      <c r="W106" s="67">
        <f t="shared" si="562"/>
        <v>0</v>
      </c>
      <c r="X106" s="48"/>
      <c r="Y106" s="178">
        <f t="shared" si="603"/>
        <v>0</v>
      </c>
      <c r="Z106" s="178">
        <f t="shared" si="604"/>
        <v>0</v>
      </c>
      <c r="AA106" s="174">
        <f t="shared" si="605"/>
        <v>0</v>
      </c>
      <c r="AB106" s="95" t="str">
        <f t="shared" si="606"/>
        <v/>
      </c>
      <c r="AC106" s="125"/>
      <c r="AD106" s="66">
        <f t="shared" si="567"/>
        <v>0</v>
      </c>
      <c r="AE106" s="67">
        <f t="shared" si="568"/>
        <v>0</v>
      </c>
      <c r="AF106" s="66">
        <f t="shared" si="569"/>
        <v>0</v>
      </c>
      <c r="AG106" s="67">
        <f t="shared" si="570"/>
        <v>0</v>
      </c>
      <c r="AH106" s="179"/>
      <c r="AI106" s="47" t="str">
        <f t="shared" si="607"/>
        <v/>
      </c>
      <c r="AJ106" s="47" t="str">
        <f t="shared" ref="AJ106:AT106" si="622">IFERROR(IF(AJ$3="A",CN106,IF(AJ$3="F",DB106,IF(AJ$3="B",BL106,0))),"")</f>
        <v/>
      </c>
      <c r="AK106" s="47" t="str">
        <f t="shared" si="622"/>
        <v/>
      </c>
      <c r="AL106" s="47" t="str">
        <f t="shared" si="622"/>
        <v/>
      </c>
      <c r="AM106" s="47" t="str">
        <f t="shared" si="622"/>
        <v/>
      </c>
      <c r="AN106" s="47" t="str">
        <f t="shared" si="622"/>
        <v/>
      </c>
      <c r="AO106" s="47" t="str">
        <f t="shared" si="622"/>
        <v/>
      </c>
      <c r="AP106" s="47" t="str">
        <f t="shared" si="622"/>
        <v/>
      </c>
      <c r="AQ106" s="47" t="str">
        <f t="shared" si="622"/>
        <v/>
      </c>
      <c r="AR106" s="47">
        <f t="shared" si="622"/>
        <v>0</v>
      </c>
      <c r="AS106" s="47">
        <f t="shared" si="622"/>
        <v>0</v>
      </c>
      <c r="AT106" s="47">
        <f t="shared" si="622"/>
        <v>0</v>
      </c>
      <c r="AU106" s="180">
        <f t="shared" si="609"/>
        <v>0</v>
      </c>
      <c r="AV106" s="127"/>
      <c r="AW106" s="47" t="str">
        <f t="shared" ref="AW106:BH106" si="623">IFERROR(IF(AW$3="A",CM106,IF(AW$3="B",BK106)),0)</f>
        <v/>
      </c>
      <c r="AX106" s="47" t="str">
        <f t="shared" si="623"/>
        <v/>
      </c>
      <c r="AY106" s="47" t="str">
        <f t="shared" si="623"/>
        <v/>
      </c>
      <c r="AZ106" s="47" t="str">
        <f t="shared" si="623"/>
        <v/>
      </c>
      <c r="BA106" s="47" t="str">
        <f t="shared" si="623"/>
        <v/>
      </c>
      <c r="BB106" s="47" t="str">
        <f t="shared" si="623"/>
        <v/>
      </c>
      <c r="BC106" s="47">
        <f t="shared" si="623"/>
        <v>0</v>
      </c>
      <c r="BD106" s="47">
        <f t="shared" si="623"/>
        <v>0</v>
      </c>
      <c r="BE106" s="47">
        <f t="shared" si="623"/>
        <v>0</v>
      </c>
      <c r="BF106" s="47">
        <f t="shared" si="623"/>
        <v>0</v>
      </c>
      <c r="BG106" s="47">
        <f t="shared" si="623"/>
        <v>0</v>
      </c>
      <c r="BH106" s="47">
        <f t="shared" si="623"/>
        <v>0</v>
      </c>
      <c r="BI106" s="180">
        <f t="shared" si="611"/>
        <v>0</v>
      </c>
      <c r="BJ106" s="179"/>
      <c r="BK106" s="128">
        <v>0.0</v>
      </c>
      <c r="BL106" s="128">
        <v>0.0</v>
      </c>
      <c r="BM106" s="128">
        <v>0.0</v>
      </c>
      <c r="BN106" s="128">
        <v>0.0</v>
      </c>
      <c r="BO106" s="128">
        <v>0.0</v>
      </c>
      <c r="BP106" s="128">
        <v>0.0</v>
      </c>
      <c r="BQ106" s="128">
        <v>0.0</v>
      </c>
      <c r="BR106" s="128">
        <v>0.0</v>
      </c>
      <c r="BS106" s="128">
        <v>0.0</v>
      </c>
      <c r="BT106" s="128">
        <v>0.0</v>
      </c>
      <c r="BU106" s="128">
        <v>0.0</v>
      </c>
      <c r="BV106" s="128">
        <v>0.0</v>
      </c>
      <c r="BW106" s="181">
        <v>0.0</v>
      </c>
      <c r="BX106" s="182"/>
      <c r="BY106" s="47"/>
      <c r="BZ106" s="47"/>
      <c r="CA106" s="47"/>
      <c r="CB106" s="47"/>
      <c r="CC106" s="47"/>
      <c r="CD106" s="47"/>
      <c r="CE106" s="47"/>
      <c r="CF106" s="47"/>
      <c r="CG106" s="47"/>
      <c r="CH106" s="47"/>
      <c r="CI106" s="47"/>
      <c r="CJ106" s="47"/>
      <c r="CK106" s="180"/>
      <c r="CL106" s="178"/>
      <c r="CM106" s="47"/>
      <c r="CN106" s="47"/>
      <c r="CO106" s="47"/>
      <c r="CP106" s="47"/>
      <c r="CQ106" s="47"/>
      <c r="CR106" s="47"/>
      <c r="CS106" s="47"/>
      <c r="CT106" s="47"/>
      <c r="CU106" s="47"/>
      <c r="CV106" s="47"/>
      <c r="CW106" s="47"/>
      <c r="CX106" s="47"/>
      <c r="CY106" s="180"/>
      <c r="CZ106" s="183"/>
      <c r="DA106" s="47">
        <f t="shared" si="612"/>
        <v>0</v>
      </c>
      <c r="DB106" s="47"/>
      <c r="DC106" s="47"/>
      <c r="DD106" s="47"/>
      <c r="DE106" s="47"/>
      <c r="DF106" s="47"/>
      <c r="DG106" s="47"/>
      <c r="DH106" s="47"/>
      <c r="DI106" s="47"/>
      <c r="DJ106" s="47"/>
      <c r="DK106" s="47"/>
      <c r="DL106" s="47"/>
      <c r="DM106" s="180">
        <f t="shared" si="613"/>
        <v>0</v>
      </c>
      <c r="DN106" s="182"/>
      <c r="DO106" s="130"/>
      <c r="DP106" s="130"/>
      <c r="DQ106" s="131"/>
    </row>
    <row r="107" outlineLevel="3">
      <c r="A107" s="154"/>
      <c r="B107" s="173" t="s">
        <v>114</v>
      </c>
      <c r="C107" s="124"/>
      <c r="D107" s="174">
        <f t="shared" si="596"/>
        <v>0</v>
      </c>
      <c r="E107" s="174">
        <f t="shared" si="597"/>
        <v>0</v>
      </c>
      <c r="F107" s="174">
        <f t="shared" si="598"/>
        <v>3209.737</v>
      </c>
      <c r="G107" s="174">
        <f t="shared" si="599"/>
        <v>0</v>
      </c>
      <c r="H107" s="175"/>
      <c r="I107" s="176">
        <f t="shared" si="550"/>
        <v>0</v>
      </c>
      <c r="J107" s="177">
        <f t="shared" si="551"/>
        <v>0</v>
      </c>
      <c r="K107" s="176">
        <f t="shared" si="552"/>
        <v>-3209.737</v>
      </c>
      <c r="L107" s="177">
        <f t="shared" si="553"/>
        <v>-1</v>
      </c>
      <c r="M107" s="176">
        <f t="shared" si="554"/>
        <v>0</v>
      </c>
      <c r="N107" s="177">
        <f t="shared" si="555"/>
        <v>0</v>
      </c>
      <c r="O107" s="175"/>
      <c r="P107" s="174">
        <f t="shared" si="600"/>
        <v>0</v>
      </c>
      <c r="Q107" s="174">
        <f t="shared" si="601"/>
        <v>3209.737</v>
      </c>
      <c r="R107" s="174">
        <f t="shared" si="602"/>
        <v>0</v>
      </c>
      <c r="S107" s="48"/>
      <c r="T107" s="66">
        <f t="shared" si="559"/>
        <v>-3209.737</v>
      </c>
      <c r="U107" s="67">
        <f t="shared" si="560"/>
        <v>-1</v>
      </c>
      <c r="V107" s="66">
        <f t="shared" si="561"/>
        <v>0</v>
      </c>
      <c r="W107" s="67">
        <f t="shared" si="562"/>
        <v>0</v>
      </c>
      <c r="X107" s="48"/>
      <c r="Y107" s="178">
        <f t="shared" si="603"/>
        <v>8904.517</v>
      </c>
      <c r="Z107" s="178">
        <f t="shared" si="604"/>
        <v>23103.238</v>
      </c>
      <c r="AA107" s="174">
        <f t="shared" si="605"/>
        <v>26312.975</v>
      </c>
      <c r="AB107" s="95" t="str">
        <f t="shared" si="606"/>
        <v/>
      </c>
      <c r="AC107" s="125"/>
      <c r="AD107" s="66">
        <f t="shared" si="567"/>
        <v>-17408.458</v>
      </c>
      <c r="AE107" s="67">
        <f t="shared" si="568"/>
        <v>-0.6615921613</v>
      </c>
      <c r="AF107" s="66">
        <f t="shared" si="569"/>
        <v>8904.517</v>
      </c>
      <c r="AG107" s="67">
        <f t="shared" si="570"/>
        <v>0</v>
      </c>
      <c r="AH107" s="179"/>
      <c r="AI107" s="47" t="str">
        <f t="shared" si="607"/>
        <v/>
      </c>
      <c r="AJ107" s="47" t="str">
        <f t="shared" ref="AJ107:AT107" si="624">IFERROR(IF(AJ$3="A",CN107,IF(AJ$3="F",DB107,IF(AJ$3="B",BL107,0))),"")</f>
        <v/>
      </c>
      <c r="AK107" s="47" t="str">
        <f t="shared" si="624"/>
        <v/>
      </c>
      <c r="AL107" s="47" t="str">
        <f t="shared" si="624"/>
        <v/>
      </c>
      <c r="AM107" s="47" t="str">
        <f t="shared" si="624"/>
        <v/>
      </c>
      <c r="AN107" s="47" t="str">
        <f t="shared" si="624"/>
        <v/>
      </c>
      <c r="AO107" s="47" t="str">
        <f t="shared" si="624"/>
        <v/>
      </c>
      <c r="AP107" s="47" t="str">
        <f t="shared" si="624"/>
        <v/>
      </c>
      <c r="AQ107" s="47" t="str">
        <f t="shared" si="624"/>
        <v/>
      </c>
      <c r="AR107" s="47">
        <f t="shared" si="624"/>
        <v>4196.864</v>
      </c>
      <c r="AS107" s="47">
        <f t="shared" si="624"/>
        <v>2184.95</v>
      </c>
      <c r="AT107" s="47">
        <f t="shared" si="624"/>
        <v>2522.703</v>
      </c>
      <c r="AU107" s="180">
        <f t="shared" si="609"/>
        <v>8904.517</v>
      </c>
      <c r="AV107" s="127"/>
      <c r="AW107" s="47" t="str">
        <f t="shared" ref="AW107:BH107" si="625">IFERROR(IF(AW$3="A",CM107,IF(AW$3="B",BK107)),0)</f>
        <v/>
      </c>
      <c r="AX107" s="47" t="str">
        <f t="shared" si="625"/>
        <v/>
      </c>
      <c r="AY107" s="47" t="str">
        <f t="shared" si="625"/>
        <v/>
      </c>
      <c r="AZ107" s="47" t="str">
        <f t="shared" si="625"/>
        <v/>
      </c>
      <c r="BA107" s="47" t="str">
        <f t="shared" si="625"/>
        <v/>
      </c>
      <c r="BB107" s="47" t="str">
        <f t="shared" si="625"/>
        <v/>
      </c>
      <c r="BC107" s="47">
        <f t="shared" si="625"/>
        <v>5175.225</v>
      </c>
      <c r="BD107" s="47">
        <f t="shared" si="625"/>
        <v>4795.788</v>
      </c>
      <c r="BE107" s="47">
        <f t="shared" si="625"/>
        <v>4227.708</v>
      </c>
      <c r="BF107" s="47">
        <f t="shared" si="625"/>
        <v>4196.864</v>
      </c>
      <c r="BG107" s="47">
        <f t="shared" si="625"/>
        <v>2184.95</v>
      </c>
      <c r="BH107" s="47">
        <f t="shared" si="625"/>
        <v>2522.703</v>
      </c>
      <c r="BI107" s="180">
        <f t="shared" si="611"/>
        <v>23103.238</v>
      </c>
      <c r="BJ107" s="179"/>
      <c r="BK107" s="128">
        <v>0.0</v>
      </c>
      <c r="BL107" s="128">
        <v>0.0</v>
      </c>
      <c r="BM107" s="128">
        <v>0.0</v>
      </c>
      <c r="BN107" s="128">
        <v>0.0</v>
      </c>
      <c r="BO107" s="128">
        <v>0.0</v>
      </c>
      <c r="BP107" s="128">
        <v>3209.737</v>
      </c>
      <c r="BQ107" s="128">
        <v>5175.225</v>
      </c>
      <c r="BR107" s="128">
        <v>4795.788</v>
      </c>
      <c r="BS107" s="128">
        <v>4227.708</v>
      </c>
      <c r="BT107" s="128">
        <v>4196.864</v>
      </c>
      <c r="BU107" s="128">
        <v>2184.95</v>
      </c>
      <c r="BV107" s="128">
        <v>2522.703</v>
      </c>
      <c r="BW107" s="181">
        <v>26312.975</v>
      </c>
      <c r="BX107" s="182"/>
      <c r="BY107" s="47"/>
      <c r="BZ107" s="47"/>
      <c r="CA107" s="47"/>
      <c r="CB107" s="47"/>
      <c r="CC107" s="47"/>
      <c r="CD107" s="47"/>
      <c r="CE107" s="47"/>
      <c r="CF107" s="47"/>
      <c r="CG107" s="47"/>
      <c r="CH107" s="47"/>
      <c r="CI107" s="47"/>
      <c r="CJ107" s="47"/>
      <c r="CK107" s="180"/>
      <c r="CL107" s="178"/>
      <c r="CM107" s="47"/>
      <c r="CN107" s="47"/>
      <c r="CO107" s="47"/>
      <c r="CP107" s="47"/>
      <c r="CQ107" s="47"/>
      <c r="CR107" s="47"/>
      <c r="CS107" s="47"/>
      <c r="CT107" s="47"/>
      <c r="CU107" s="47"/>
      <c r="CV107" s="47"/>
      <c r="CW107" s="47"/>
      <c r="CX107" s="47"/>
      <c r="CY107" s="180"/>
      <c r="CZ107" s="183"/>
      <c r="DA107" s="47">
        <f t="shared" si="612"/>
        <v>0</v>
      </c>
      <c r="DB107" s="47"/>
      <c r="DC107" s="47"/>
      <c r="DD107" s="47"/>
      <c r="DE107" s="47"/>
      <c r="DF107" s="47"/>
      <c r="DG107" s="47"/>
      <c r="DH107" s="47"/>
      <c r="DI107" s="47"/>
      <c r="DJ107" s="47"/>
      <c r="DK107" s="47"/>
      <c r="DL107" s="47"/>
      <c r="DM107" s="180">
        <f t="shared" si="613"/>
        <v>0</v>
      </c>
      <c r="DN107" s="182"/>
      <c r="DO107" s="130"/>
      <c r="DP107" s="130"/>
      <c r="DQ107" s="131"/>
    </row>
    <row r="108" outlineLevel="3">
      <c r="A108" s="154"/>
      <c r="B108" s="173" t="s">
        <v>115</v>
      </c>
      <c r="C108" s="124"/>
      <c r="D108" s="174">
        <f t="shared" si="596"/>
        <v>0</v>
      </c>
      <c r="E108" s="174">
        <f t="shared" si="597"/>
        <v>0</v>
      </c>
      <c r="F108" s="174">
        <f t="shared" si="598"/>
        <v>0</v>
      </c>
      <c r="G108" s="174">
        <f t="shared" si="599"/>
        <v>0</v>
      </c>
      <c r="H108" s="175"/>
      <c r="I108" s="176">
        <f t="shared" si="550"/>
        <v>0</v>
      </c>
      <c r="J108" s="177">
        <f t="shared" si="551"/>
        <v>0</v>
      </c>
      <c r="K108" s="176">
        <f t="shared" si="552"/>
        <v>0</v>
      </c>
      <c r="L108" s="177">
        <f t="shared" si="553"/>
        <v>0</v>
      </c>
      <c r="M108" s="176">
        <f t="shared" si="554"/>
        <v>0</v>
      </c>
      <c r="N108" s="177">
        <f t="shared" si="555"/>
        <v>0</v>
      </c>
      <c r="O108" s="175"/>
      <c r="P108" s="174">
        <f t="shared" si="600"/>
        <v>0</v>
      </c>
      <c r="Q108" s="174">
        <f t="shared" si="601"/>
        <v>0</v>
      </c>
      <c r="R108" s="178">
        <f t="shared" si="602"/>
        <v>0</v>
      </c>
      <c r="S108" s="48"/>
      <c r="T108" s="66">
        <f t="shared" si="559"/>
        <v>0</v>
      </c>
      <c r="U108" s="67">
        <f t="shared" si="560"/>
        <v>0</v>
      </c>
      <c r="V108" s="66">
        <f t="shared" si="561"/>
        <v>0</v>
      </c>
      <c r="W108" s="67">
        <f t="shared" si="562"/>
        <v>0</v>
      </c>
      <c r="X108" s="48"/>
      <c r="Y108" s="178">
        <f t="shared" si="603"/>
        <v>0</v>
      </c>
      <c r="Z108" s="178">
        <f t="shared" si="604"/>
        <v>0</v>
      </c>
      <c r="AA108" s="178">
        <f t="shared" si="605"/>
        <v>0</v>
      </c>
      <c r="AB108" s="95" t="str">
        <f t="shared" si="606"/>
        <v/>
      </c>
      <c r="AC108" s="125"/>
      <c r="AD108" s="66">
        <f t="shared" si="567"/>
        <v>0</v>
      </c>
      <c r="AE108" s="67">
        <f t="shared" si="568"/>
        <v>0</v>
      </c>
      <c r="AF108" s="66">
        <f t="shared" si="569"/>
        <v>0</v>
      </c>
      <c r="AG108" s="67">
        <f t="shared" si="570"/>
        <v>0</v>
      </c>
      <c r="AH108" s="179"/>
      <c r="AI108" s="47" t="str">
        <f t="shared" si="607"/>
        <v/>
      </c>
      <c r="AJ108" s="47" t="str">
        <f t="shared" ref="AJ108:AT108" si="626">IFERROR(IF(AJ$3="A",CN108,IF(AJ$3="F",DB108,IF(AJ$3="B",BL108,0))),"")</f>
        <v/>
      </c>
      <c r="AK108" s="47" t="str">
        <f t="shared" si="626"/>
        <v/>
      </c>
      <c r="AL108" s="47" t="str">
        <f t="shared" si="626"/>
        <v/>
      </c>
      <c r="AM108" s="47" t="str">
        <f t="shared" si="626"/>
        <v/>
      </c>
      <c r="AN108" s="47" t="str">
        <f t="shared" si="626"/>
        <v/>
      </c>
      <c r="AO108" s="47" t="str">
        <f t="shared" si="626"/>
        <v/>
      </c>
      <c r="AP108" s="47" t="str">
        <f t="shared" si="626"/>
        <v/>
      </c>
      <c r="AQ108" s="47" t="str">
        <f t="shared" si="626"/>
        <v/>
      </c>
      <c r="AR108" s="47">
        <f t="shared" si="626"/>
        <v>0</v>
      </c>
      <c r="AS108" s="47">
        <f t="shared" si="626"/>
        <v>0</v>
      </c>
      <c r="AT108" s="47">
        <f t="shared" si="626"/>
        <v>0</v>
      </c>
      <c r="AU108" s="180">
        <f t="shared" si="609"/>
        <v>0</v>
      </c>
      <c r="AV108" s="127"/>
      <c r="AW108" s="47" t="str">
        <f t="shared" ref="AW108:BH108" si="627">IFERROR(IF(AW$3="A",CM108,IF(AW$3="B",BK108)),0)</f>
        <v/>
      </c>
      <c r="AX108" s="47" t="str">
        <f t="shared" si="627"/>
        <v/>
      </c>
      <c r="AY108" s="47" t="str">
        <f t="shared" si="627"/>
        <v/>
      </c>
      <c r="AZ108" s="47" t="str">
        <f t="shared" si="627"/>
        <v/>
      </c>
      <c r="BA108" s="47" t="str">
        <f t="shared" si="627"/>
        <v/>
      </c>
      <c r="BB108" s="47" t="str">
        <f t="shared" si="627"/>
        <v/>
      </c>
      <c r="BC108" s="47">
        <f t="shared" si="627"/>
        <v>0</v>
      </c>
      <c r="BD108" s="47">
        <f t="shared" si="627"/>
        <v>0</v>
      </c>
      <c r="BE108" s="47">
        <f t="shared" si="627"/>
        <v>0</v>
      </c>
      <c r="BF108" s="47">
        <f t="shared" si="627"/>
        <v>0</v>
      </c>
      <c r="BG108" s="47">
        <f t="shared" si="627"/>
        <v>0</v>
      </c>
      <c r="BH108" s="47">
        <f t="shared" si="627"/>
        <v>0</v>
      </c>
      <c r="BI108" s="180">
        <f t="shared" si="611"/>
        <v>0</v>
      </c>
      <c r="BJ108" s="179"/>
      <c r="BK108" s="128">
        <v>0.0</v>
      </c>
      <c r="BL108" s="128">
        <v>0.0</v>
      </c>
      <c r="BM108" s="128">
        <v>0.0</v>
      </c>
      <c r="BN108" s="128">
        <v>0.0</v>
      </c>
      <c r="BO108" s="128">
        <v>0.0</v>
      </c>
      <c r="BP108" s="128">
        <v>0.0</v>
      </c>
      <c r="BQ108" s="128">
        <v>0.0</v>
      </c>
      <c r="BR108" s="128">
        <v>0.0</v>
      </c>
      <c r="BS108" s="128">
        <v>0.0</v>
      </c>
      <c r="BT108" s="128">
        <v>0.0</v>
      </c>
      <c r="BU108" s="128">
        <v>0.0</v>
      </c>
      <c r="BV108" s="128">
        <v>0.0</v>
      </c>
      <c r="BW108" s="181">
        <v>0.0</v>
      </c>
      <c r="BX108" s="182"/>
      <c r="BY108" s="47"/>
      <c r="BZ108" s="47"/>
      <c r="CA108" s="47"/>
      <c r="CB108" s="47"/>
      <c r="CC108" s="47"/>
      <c r="CD108" s="47"/>
      <c r="CE108" s="47"/>
      <c r="CF108" s="47"/>
      <c r="CG108" s="47"/>
      <c r="CH108" s="47"/>
      <c r="CI108" s="47"/>
      <c r="CJ108" s="47"/>
      <c r="CK108" s="180"/>
      <c r="CL108" s="178"/>
      <c r="CM108" s="47"/>
      <c r="CN108" s="47"/>
      <c r="CO108" s="47"/>
      <c r="CP108" s="47"/>
      <c r="CQ108" s="47"/>
      <c r="CR108" s="47"/>
      <c r="CS108" s="47"/>
      <c r="CT108" s="47"/>
      <c r="CU108" s="47"/>
      <c r="CV108" s="47"/>
      <c r="CW108" s="47"/>
      <c r="CX108" s="47"/>
      <c r="CY108" s="180"/>
      <c r="CZ108" s="183"/>
      <c r="DA108" s="47">
        <f t="shared" si="612"/>
        <v>0</v>
      </c>
      <c r="DB108" s="47"/>
      <c r="DC108" s="47"/>
      <c r="DD108" s="47"/>
      <c r="DE108" s="47"/>
      <c r="DF108" s="47"/>
      <c r="DG108" s="47"/>
      <c r="DH108" s="47"/>
      <c r="DI108" s="47"/>
      <c r="DJ108" s="47"/>
      <c r="DK108" s="47"/>
      <c r="DL108" s="47"/>
      <c r="DM108" s="180">
        <f t="shared" si="613"/>
        <v>0</v>
      </c>
      <c r="DN108" s="182"/>
      <c r="DO108" s="132"/>
      <c r="DP108" s="132"/>
      <c r="DQ108" s="131"/>
    </row>
    <row r="109">
      <c r="A109" s="154"/>
      <c r="B109" s="133" t="s">
        <v>116</v>
      </c>
      <c r="C109" s="124"/>
      <c r="D109" s="57">
        <f t="shared" si="596"/>
        <v>0</v>
      </c>
      <c r="E109" s="57">
        <f t="shared" si="597"/>
        <v>0</v>
      </c>
      <c r="F109" s="57">
        <f t="shared" si="598"/>
        <v>43522.286</v>
      </c>
      <c r="G109" s="57">
        <f t="shared" si="599"/>
        <v>0</v>
      </c>
      <c r="H109" s="48"/>
      <c r="I109" s="66">
        <f t="shared" si="550"/>
        <v>0</v>
      </c>
      <c r="J109" s="67">
        <f t="shared" si="551"/>
        <v>0</v>
      </c>
      <c r="K109" s="66">
        <f t="shared" si="552"/>
        <v>-43522.286</v>
      </c>
      <c r="L109" s="67">
        <f t="shared" si="553"/>
        <v>-1</v>
      </c>
      <c r="M109" s="66">
        <f t="shared" si="554"/>
        <v>0</v>
      </c>
      <c r="N109" s="67">
        <f t="shared" si="555"/>
        <v>0</v>
      </c>
      <c r="O109" s="48"/>
      <c r="P109" s="57">
        <f t="shared" si="600"/>
        <v>0</v>
      </c>
      <c r="Q109" s="57">
        <f t="shared" si="601"/>
        <v>216049.017</v>
      </c>
      <c r="R109" s="57">
        <f t="shared" si="602"/>
        <v>0</v>
      </c>
      <c r="S109" s="48"/>
      <c r="T109" s="66">
        <f t="shared" si="559"/>
        <v>-216049.017</v>
      </c>
      <c r="U109" s="67">
        <f t="shared" si="560"/>
        <v>-1</v>
      </c>
      <c r="V109" s="66">
        <f t="shared" si="561"/>
        <v>0</v>
      </c>
      <c r="W109" s="67">
        <f t="shared" si="562"/>
        <v>0</v>
      </c>
      <c r="X109" s="48"/>
      <c r="Y109" s="57">
        <f t="shared" si="603"/>
        <v>318054.481</v>
      </c>
      <c r="Z109" s="57">
        <f t="shared" si="604"/>
        <v>745275.963</v>
      </c>
      <c r="AA109" s="57">
        <f t="shared" si="605"/>
        <v>961324.98</v>
      </c>
      <c r="AB109" s="95" t="str">
        <f t="shared" si="606"/>
        <v/>
      </c>
      <c r="AC109" s="125"/>
      <c r="AD109" s="66">
        <f t="shared" si="567"/>
        <v>-643270.499</v>
      </c>
      <c r="AE109" s="67">
        <f t="shared" si="568"/>
        <v>-0.6691498842</v>
      </c>
      <c r="AF109" s="66">
        <f t="shared" si="569"/>
        <v>318054.481</v>
      </c>
      <c r="AG109" s="67">
        <f t="shared" si="570"/>
        <v>0</v>
      </c>
      <c r="AH109" s="134"/>
      <c r="AI109" s="47" t="str">
        <f t="shared" si="607"/>
        <v/>
      </c>
      <c r="AJ109" s="47" t="str">
        <f t="shared" ref="AJ109:AT109" si="628">IFERROR(IF(AJ$3="A",CN109,IF(AJ$3="F",DB109,IF(AJ$3="B",BL109,0))),"")</f>
        <v/>
      </c>
      <c r="AK109" s="47" t="str">
        <f t="shared" si="628"/>
        <v/>
      </c>
      <c r="AL109" s="47" t="str">
        <f t="shared" si="628"/>
        <v/>
      </c>
      <c r="AM109" s="47" t="str">
        <f t="shared" si="628"/>
        <v/>
      </c>
      <c r="AN109" s="47" t="str">
        <f t="shared" si="628"/>
        <v/>
      </c>
      <c r="AO109" s="47" t="str">
        <f t="shared" si="628"/>
        <v/>
      </c>
      <c r="AP109" s="47" t="str">
        <f t="shared" si="628"/>
        <v/>
      </c>
      <c r="AQ109" s="47" t="str">
        <f t="shared" si="628"/>
        <v/>
      </c>
      <c r="AR109" s="47">
        <f t="shared" si="628"/>
        <v>154625.158</v>
      </c>
      <c r="AS109" s="47">
        <f t="shared" si="628"/>
        <v>79064.182</v>
      </c>
      <c r="AT109" s="47">
        <f t="shared" si="628"/>
        <v>84365.141</v>
      </c>
      <c r="AU109" s="57">
        <f t="shared" si="609"/>
        <v>318054.481</v>
      </c>
      <c r="AV109" s="127"/>
      <c r="AW109" s="47" t="str">
        <f t="shared" ref="AW109:BH109" si="629">IFERROR(IF(AW$3="A",CM109,IF(AW$3="B",BK109)),0)</f>
        <v/>
      </c>
      <c r="AX109" s="47" t="str">
        <f t="shared" si="629"/>
        <v/>
      </c>
      <c r="AY109" s="47" t="str">
        <f t="shared" si="629"/>
        <v/>
      </c>
      <c r="AZ109" s="47" t="str">
        <f t="shared" si="629"/>
        <v/>
      </c>
      <c r="BA109" s="47" t="str">
        <f t="shared" si="629"/>
        <v/>
      </c>
      <c r="BB109" s="47" t="str">
        <f t="shared" si="629"/>
        <v/>
      </c>
      <c r="BC109" s="47">
        <f t="shared" si="629"/>
        <v>136627.004</v>
      </c>
      <c r="BD109" s="47">
        <f t="shared" si="629"/>
        <v>161640.841</v>
      </c>
      <c r="BE109" s="47">
        <f t="shared" si="629"/>
        <v>128953.637</v>
      </c>
      <c r="BF109" s="47">
        <f t="shared" si="629"/>
        <v>154625.158</v>
      </c>
      <c r="BG109" s="47">
        <f t="shared" si="629"/>
        <v>79064.182</v>
      </c>
      <c r="BH109" s="47">
        <f t="shared" si="629"/>
        <v>84365.141</v>
      </c>
      <c r="BI109" s="57">
        <f t="shared" si="611"/>
        <v>745275.963</v>
      </c>
      <c r="BJ109" s="134"/>
      <c r="BK109" s="128">
        <v>45187.889</v>
      </c>
      <c r="BL109" s="128">
        <v>40391.663</v>
      </c>
      <c r="BM109" s="128">
        <v>26954.956</v>
      </c>
      <c r="BN109" s="128">
        <v>17556.41</v>
      </c>
      <c r="BO109" s="128">
        <v>42435.813</v>
      </c>
      <c r="BP109" s="128">
        <v>43522.286</v>
      </c>
      <c r="BQ109" s="128">
        <v>136627.004</v>
      </c>
      <c r="BR109" s="128">
        <v>161640.841</v>
      </c>
      <c r="BS109" s="128">
        <v>128953.637</v>
      </c>
      <c r="BT109" s="128">
        <v>154625.158</v>
      </c>
      <c r="BU109" s="128">
        <v>79064.182</v>
      </c>
      <c r="BV109" s="128">
        <v>84365.141</v>
      </c>
      <c r="BW109" s="135">
        <v>961324.98</v>
      </c>
      <c r="BX109" s="1"/>
      <c r="BY109" s="47"/>
      <c r="BZ109" s="47"/>
      <c r="CA109" s="47"/>
      <c r="CB109" s="47"/>
      <c r="CC109" s="47"/>
      <c r="CD109" s="47"/>
      <c r="CE109" s="47"/>
      <c r="CF109" s="47"/>
      <c r="CG109" s="47"/>
      <c r="CH109" s="47"/>
      <c r="CI109" s="47"/>
      <c r="CJ109" s="47"/>
      <c r="CK109" s="57"/>
      <c r="CL109" s="57"/>
      <c r="CM109" s="47"/>
      <c r="CN109" s="47"/>
      <c r="CO109" s="47"/>
      <c r="CP109" s="47"/>
      <c r="CQ109" s="47"/>
      <c r="CR109" s="47"/>
      <c r="CS109" s="47"/>
      <c r="CT109" s="47"/>
      <c r="CU109" s="47"/>
      <c r="CV109" s="47"/>
      <c r="CW109" s="47"/>
      <c r="CX109" s="47"/>
      <c r="CY109" s="57"/>
      <c r="CZ109" s="11"/>
      <c r="DA109" s="57">
        <f t="shared" si="612"/>
        <v>45187.889</v>
      </c>
      <c r="DB109" s="57"/>
      <c r="DC109" s="57"/>
      <c r="DD109" s="57"/>
      <c r="DE109" s="57"/>
      <c r="DF109" s="57"/>
      <c r="DG109" s="57"/>
      <c r="DH109" s="57"/>
      <c r="DI109" s="57"/>
      <c r="DJ109" s="57"/>
      <c r="DK109" s="57"/>
      <c r="DL109" s="57"/>
      <c r="DM109" s="57">
        <f t="shared" si="613"/>
        <v>45187.889</v>
      </c>
      <c r="DN109" s="1"/>
      <c r="DO109" s="136"/>
      <c r="DP109" s="136"/>
      <c r="DQ109" s="131"/>
    </row>
    <row r="110" outlineLevel="2">
      <c r="A110" s="154"/>
      <c r="B110" s="133" t="s">
        <v>117</v>
      </c>
      <c r="C110" s="124"/>
      <c r="D110" s="57">
        <f t="shared" si="596"/>
        <v>0</v>
      </c>
      <c r="E110" s="57">
        <f t="shared" si="597"/>
        <v>0</v>
      </c>
      <c r="F110" s="57">
        <f t="shared" si="598"/>
        <v>0</v>
      </c>
      <c r="G110" s="57">
        <f t="shared" si="599"/>
        <v>0</v>
      </c>
      <c r="H110" s="48"/>
      <c r="I110" s="66">
        <f t="shared" si="550"/>
        <v>0</v>
      </c>
      <c r="J110" s="67">
        <f t="shared" si="551"/>
        <v>0</v>
      </c>
      <c r="K110" s="66">
        <f t="shared" si="552"/>
        <v>0</v>
      </c>
      <c r="L110" s="67">
        <f t="shared" si="553"/>
        <v>0</v>
      </c>
      <c r="M110" s="66">
        <f t="shared" si="554"/>
        <v>0</v>
      </c>
      <c r="N110" s="67">
        <f t="shared" si="555"/>
        <v>0</v>
      </c>
      <c r="O110" s="48"/>
      <c r="P110" s="57">
        <f t="shared" si="600"/>
        <v>0</v>
      </c>
      <c r="Q110" s="57">
        <f t="shared" si="601"/>
        <v>0</v>
      </c>
      <c r="R110" s="57">
        <f t="shared" si="602"/>
        <v>0</v>
      </c>
      <c r="S110" s="48"/>
      <c r="T110" s="66">
        <f t="shared" si="559"/>
        <v>0</v>
      </c>
      <c r="U110" s="67">
        <f t="shared" si="560"/>
        <v>0</v>
      </c>
      <c r="V110" s="66">
        <f t="shared" si="561"/>
        <v>0</v>
      </c>
      <c r="W110" s="67">
        <f t="shared" si="562"/>
        <v>0</v>
      </c>
      <c r="X110" s="48"/>
      <c r="Y110" s="57">
        <f t="shared" si="603"/>
        <v>0</v>
      </c>
      <c r="Z110" s="57">
        <f t="shared" si="604"/>
        <v>0</v>
      </c>
      <c r="AA110" s="57">
        <f t="shared" si="605"/>
        <v>0</v>
      </c>
      <c r="AB110" s="95" t="str">
        <f t="shared" si="606"/>
        <v/>
      </c>
      <c r="AC110" s="125"/>
      <c r="AD110" s="66">
        <f t="shared" si="567"/>
        <v>0</v>
      </c>
      <c r="AE110" s="67">
        <f t="shared" si="568"/>
        <v>0</v>
      </c>
      <c r="AF110" s="66">
        <f t="shared" si="569"/>
        <v>0</v>
      </c>
      <c r="AG110" s="67">
        <f t="shared" si="570"/>
        <v>0</v>
      </c>
      <c r="AH110" s="134"/>
      <c r="AI110" s="47" t="str">
        <f t="shared" si="607"/>
        <v/>
      </c>
      <c r="AJ110" s="47" t="str">
        <f t="shared" ref="AJ110:AT110" si="630">IFERROR(IF(AJ$3="A",CN110,IF(AJ$3="F",DB110,IF(AJ$3="B",BL110,0))),"")</f>
        <v/>
      </c>
      <c r="AK110" s="47" t="str">
        <f t="shared" si="630"/>
        <v/>
      </c>
      <c r="AL110" s="47" t="str">
        <f t="shared" si="630"/>
        <v/>
      </c>
      <c r="AM110" s="47" t="str">
        <f t="shared" si="630"/>
        <v/>
      </c>
      <c r="AN110" s="47" t="str">
        <f t="shared" si="630"/>
        <v/>
      </c>
      <c r="AO110" s="47" t="str">
        <f t="shared" si="630"/>
        <v/>
      </c>
      <c r="AP110" s="47" t="str">
        <f t="shared" si="630"/>
        <v/>
      </c>
      <c r="AQ110" s="47" t="str">
        <f t="shared" si="630"/>
        <v/>
      </c>
      <c r="AR110" s="47" t="str">
        <f t="shared" si="630"/>
        <v/>
      </c>
      <c r="AS110" s="47" t="str">
        <f t="shared" si="630"/>
        <v/>
      </c>
      <c r="AT110" s="47" t="str">
        <f t="shared" si="630"/>
        <v/>
      </c>
      <c r="AU110" s="57">
        <f t="shared" si="609"/>
        <v>0</v>
      </c>
      <c r="AV110" s="127"/>
      <c r="AW110" s="47" t="str">
        <f t="shared" ref="AW110:BH110" si="631">IFERROR(IF(AW$3="A",CM110,IF(AW$3="B",BK110)),0)</f>
        <v/>
      </c>
      <c r="AX110" s="47" t="str">
        <f t="shared" si="631"/>
        <v/>
      </c>
      <c r="AY110" s="47" t="str">
        <f t="shared" si="631"/>
        <v/>
      </c>
      <c r="AZ110" s="47" t="str">
        <f t="shared" si="631"/>
        <v/>
      </c>
      <c r="BA110" s="47" t="str">
        <f t="shared" si="631"/>
        <v/>
      </c>
      <c r="BB110" s="47" t="str">
        <f t="shared" si="631"/>
        <v/>
      </c>
      <c r="BC110" s="47" t="str">
        <f t="shared" si="631"/>
        <v/>
      </c>
      <c r="BD110" s="47" t="str">
        <f t="shared" si="631"/>
        <v/>
      </c>
      <c r="BE110" s="47" t="str">
        <f t="shared" si="631"/>
        <v/>
      </c>
      <c r="BF110" s="47" t="str">
        <f t="shared" si="631"/>
        <v/>
      </c>
      <c r="BG110" s="47" t="str">
        <f t="shared" si="631"/>
        <v/>
      </c>
      <c r="BH110" s="47" t="str">
        <f t="shared" si="631"/>
        <v/>
      </c>
      <c r="BI110" s="57">
        <f t="shared" si="611"/>
        <v>0</v>
      </c>
      <c r="BJ110" s="134"/>
      <c r="BK110" s="47"/>
      <c r="BL110" s="47"/>
      <c r="BM110" s="47"/>
      <c r="BN110" s="47"/>
      <c r="BO110" s="47"/>
      <c r="BP110" s="47"/>
      <c r="BQ110" s="47"/>
      <c r="BR110" s="47"/>
      <c r="BS110" s="47"/>
      <c r="BT110" s="47"/>
      <c r="BU110" s="47"/>
      <c r="BV110" s="47"/>
      <c r="BW110" s="135">
        <v>0.0</v>
      </c>
      <c r="BX110" s="1"/>
      <c r="BY110" s="47"/>
      <c r="BZ110" s="47"/>
      <c r="CA110" s="47"/>
      <c r="CB110" s="47"/>
      <c r="CC110" s="47"/>
      <c r="CD110" s="47"/>
      <c r="CE110" s="47"/>
      <c r="CF110" s="47"/>
      <c r="CG110" s="47"/>
      <c r="CH110" s="47"/>
      <c r="CI110" s="47"/>
      <c r="CJ110" s="47"/>
      <c r="CK110" s="57"/>
      <c r="CL110" s="57"/>
      <c r="CM110" s="47"/>
      <c r="CN110" s="47"/>
      <c r="CO110" s="47"/>
      <c r="CP110" s="47"/>
      <c r="CQ110" s="47"/>
      <c r="CR110" s="47"/>
      <c r="CS110" s="47"/>
      <c r="CT110" s="47"/>
      <c r="CU110" s="47"/>
      <c r="CV110" s="47"/>
      <c r="CW110" s="47"/>
      <c r="CX110" s="47"/>
      <c r="CY110" s="57"/>
      <c r="CZ110" s="11"/>
      <c r="DA110" s="95" t="str">
        <f t="shared" si="612"/>
        <v/>
      </c>
      <c r="DB110" s="95"/>
      <c r="DC110" s="95"/>
      <c r="DD110" s="95"/>
      <c r="DE110" s="95"/>
      <c r="DF110" s="95"/>
      <c r="DG110" s="95"/>
      <c r="DH110" s="95"/>
      <c r="DI110" s="95"/>
      <c r="DJ110" s="95"/>
      <c r="DK110" s="95"/>
      <c r="DL110" s="95"/>
      <c r="DM110" s="57">
        <f t="shared" si="613"/>
        <v>0</v>
      </c>
      <c r="DN110" s="1"/>
      <c r="DO110" s="153"/>
      <c r="DP110" s="153"/>
      <c r="DQ110" s="131"/>
    </row>
    <row r="111" outlineLevel="1">
      <c r="A111" s="154"/>
      <c r="B111" s="184" t="s">
        <v>118</v>
      </c>
      <c r="C111" s="185"/>
      <c r="D111" s="157">
        <f t="shared" ref="D111:G111" si="632">D98+D99+D109+D110</f>
        <v>0</v>
      </c>
      <c r="E111" s="157">
        <f t="shared" si="632"/>
        <v>0</v>
      </c>
      <c r="F111" s="157">
        <f t="shared" si="632"/>
        <v>372109.242</v>
      </c>
      <c r="G111" s="157">
        <f t="shared" si="632"/>
        <v>0</v>
      </c>
      <c r="H111" s="125"/>
      <c r="I111" s="75">
        <f t="shared" si="550"/>
        <v>0</v>
      </c>
      <c r="J111" s="60">
        <f t="shared" si="551"/>
        <v>0</v>
      </c>
      <c r="K111" s="75">
        <f t="shared" si="552"/>
        <v>-372109.242</v>
      </c>
      <c r="L111" s="60">
        <f t="shared" si="553"/>
        <v>-1</v>
      </c>
      <c r="M111" s="75">
        <f t="shared" si="554"/>
        <v>0</v>
      </c>
      <c r="N111" s="60">
        <f t="shared" si="555"/>
        <v>0</v>
      </c>
      <c r="O111" s="125"/>
      <c r="P111" s="157">
        <f t="shared" ref="P111:R111" si="633">P98+P99+P109+P110</f>
        <v>0</v>
      </c>
      <c r="Q111" s="157">
        <f t="shared" si="633"/>
        <v>1737499.227</v>
      </c>
      <c r="R111" s="157">
        <f t="shared" si="633"/>
        <v>0</v>
      </c>
      <c r="S111" s="125"/>
      <c r="T111" s="75">
        <f t="shared" si="559"/>
        <v>-1737499.227</v>
      </c>
      <c r="U111" s="60">
        <f t="shared" si="560"/>
        <v>-1</v>
      </c>
      <c r="V111" s="75">
        <f t="shared" si="561"/>
        <v>0</v>
      </c>
      <c r="W111" s="60">
        <f t="shared" si="562"/>
        <v>0</v>
      </c>
      <c r="X111" s="125"/>
      <c r="Y111" s="157">
        <f t="shared" ref="Y111:AB111" si="634">Y98+Y99+Y109+Y110</f>
        <v>1367444.689</v>
      </c>
      <c r="Z111" s="157">
        <f t="shared" si="634"/>
        <v>3580113.681</v>
      </c>
      <c r="AA111" s="157">
        <f t="shared" si="634"/>
        <v>5317612.908</v>
      </c>
      <c r="AB111" s="157">
        <f t="shared" si="634"/>
        <v>0</v>
      </c>
      <c r="AC111" s="125"/>
      <c r="AD111" s="75">
        <f t="shared" si="567"/>
        <v>-3950168.219</v>
      </c>
      <c r="AE111" s="60">
        <f t="shared" si="568"/>
        <v>-0.7428461393</v>
      </c>
      <c r="AF111" s="75">
        <f t="shared" si="569"/>
        <v>1367444.689</v>
      </c>
      <c r="AG111" s="60">
        <f t="shared" si="570"/>
        <v>0</v>
      </c>
      <c r="AH111" s="134"/>
      <c r="AI111" s="157">
        <f t="shared" ref="AI111:AU111" si="635">AI98+AI99+AI109+AI110</f>
        <v>0</v>
      </c>
      <c r="AJ111" s="157">
        <f t="shared" si="635"/>
        <v>0</v>
      </c>
      <c r="AK111" s="157">
        <f t="shared" si="635"/>
        <v>0</v>
      </c>
      <c r="AL111" s="157">
        <f t="shared" si="635"/>
        <v>0</v>
      </c>
      <c r="AM111" s="157">
        <f t="shared" si="635"/>
        <v>0</v>
      </c>
      <c r="AN111" s="157">
        <f t="shared" si="635"/>
        <v>0</v>
      </c>
      <c r="AO111" s="157">
        <f t="shared" si="635"/>
        <v>0</v>
      </c>
      <c r="AP111" s="157">
        <f t="shared" si="635"/>
        <v>0</v>
      </c>
      <c r="AQ111" s="157">
        <f t="shared" si="635"/>
        <v>0</v>
      </c>
      <c r="AR111" s="157">
        <f t="shared" si="635"/>
        <v>687128.273</v>
      </c>
      <c r="AS111" s="157">
        <f t="shared" si="635"/>
        <v>321862.341</v>
      </c>
      <c r="AT111" s="157">
        <f t="shared" si="635"/>
        <v>358454.075</v>
      </c>
      <c r="AU111" s="157">
        <f t="shared" si="635"/>
        <v>1367444.689</v>
      </c>
      <c r="AV111" s="127"/>
      <c r="AW111" s="157">
        <f t="shared" ref="AW111:BI111" si="636">AW98+AW99+AW109+AW110</f>
        <v>0</v>
      </c>
      <c r="AX111" s="157">
        <f t="shared" si="636"/>
        <v>0</v>
      </c>
      <c r="AY111" s="157">
        <f t="shared" si="636"/>
        <v>0</v>
      </c>
      <c r="AZ111" s="157">
        <f t="shared" si="636"/>
        <v>0</v>
      </c>
      <c r="BA111" s="157">
        <f t="shared" si="636"/>
        <v>0</v>
      </c>
      <c r="BB111" s="157">
        <f t="shared" si="636"/>
        <v>0</v>
      </c>
      <c r="BC111" s="157">
        <f t="shared" si="636"/>
        <v>767939.377</v>
      </c>
      <c r="BD111" s="157">
        <f t="shared" si="636"/>
        <v>777693.377</v>
      </c>
      <c r="BE111" s="157">
        <f t="shared" si="636"/>
        <v>667036.238</v>
      </c>
      <c r="BF111" s="157">
        <f t="shared" si="636"/>
        <v>687128.273</v>
      </c>
      <c r="BG111" s="157">
        <f t="shared" si="636"/>
        <v>321862.341</v>
      </c>
      <c r="BH111" s="157">
        <f t="shared" si="636"/>
        <v>358454.075</v>
      </c>
      <c r="BI111" s="157">
        <f t="shared" si="636"/>
        <v>3580113.681</v>
      </c>
      <c r="BJ111" s="134"/>
      <c r="BK111" s="158">
        <v>373656.522</v>
      </c>
      <c r="BL111" s="158">
        <v>355286.18</v>
      </c>
      <c r="BM111" s="158">
        <v>227147.054</v>
      </c>
      <c r="BN111" s="158">
        <v>177227.237</v>
      </c>
      <c r="BO111" s="158">
        <v>232072.992</v>
      </c>
      <c r="BP111" s="158">
        <v>372109.242</v>
      </c>
      <c r="BQ111" s="158">
        <v>767939.377</v>
      </c>
      <c r="BR111" s="158">
        <v>777693.377</v>
      </c>
      <c r="BS111" s="158">
        <v>667036.238</v>
      </c>
      <c r="BT111" s="158">
        <v>687128.273</v>
      </c>
      <c r="BU111" s="158">
        <v>321862.341</v>
      </c>
      <c r="BV111" s="158">
        <v>358454.075</v>
      </c>
      <c r="BW111" s="158">
        <v>5317612.908</v>
      </c>
      <c r="BX111" s="1"/>
      <c r="BY111" s="157"/>
      <c r="BZ111" s="157"/>
      <c r="CA111" s="157"/>
      <c r="CB111" s="157"/>
      <c r="CC111" s="157"/>
      <c r="CD111" s="157"/>
      <c r="CE111" s="157"/>
      <c r="CF111" s="157"/>
      <c r="CG111" s="157"/>
      <c r="CH111" s="157"/>
      <c r="CI111" s="157"/>
      <c r="CJ111" s="157"/>
      <c r="CK111" s="157"/>
      <c r="CL111" s="159"/>
      <c r="CM111" s="157"/>
      <c r="CN111" s="157"/>
      <c r="CO111" s="157"/>
      <c r="CP111" s="157"/>
      <c r="CQ111" s="157"/>
      <c r="CR111" s="157"/>
      <c r="CS111" s="157"/>
      <c r="CT111" s="157"/>
      <c r="CU111" s="157"/>
      <c r="CV111" s="157"/>
      <c r="CW111" s="157"/>
      <c r="CX111" s="157"/>
      <c r="CY111" s="157"/>
      <c r="CZ111" s="11"/>
      <c r="DA111" s="157">
        <f>DA98+DA99+DA109+DA110</f>
        <v>373656.522</v>
      </c>
      <c r="DB111" s="157"/>
      <c r="DC111" s="157"/>
      <c r="DD111" s="157"/>
      <c r="DE111" s="157"/>
      <c r="DF111" s="157"/>
      <c r="DG111" s="157"/>
      <c r="DH111" s="157"/>
      <c r="DI111" s="157"/>
      <c r="DJ111" s="157"/>
      <c r="DK111" s="157"/>
      <c r="DL111" s="157"/>
      <c r="DM111" s="157">
        <f>DM98+DM99+DM109+DM110</f>
        <v>373656.522</v>
      </c>
      <c r="DN111" s="1"/>
      <c r="DO111" s="160"/>
      <c r="DP111" s="160"/>
      <c r="DQ111" s="131"/>
    </row>
    <row r="112">
      <c r="A112" s="154"/>
      <c r="B112" s="133" t="s">
        <v>116</v>
      </c>
      <c r="C112" s="124"/>
      <c r="D112" s="57">
        <f t="shared" ref="D112:G112" si="637">-D109</f>
        <v>0</v>
      </c>
      <c r="E112" s="57">
        <f t="shared" si="637"/>
        <v>0</v>
      </c>
      <c r="F112" s="57">
        <f t="shared" si="637"/>
        <v>-43522.286</v>
      </c>
      <c r="G112" s="57">
        <f t="shared" si="637"/>
        <v>0</v>
      </c>
      <c r="H112" s="48"/>
      <c r="I112" s="48"/>
      <c r="J112" s="48"/>
      <c r="K112" s="48"/>
      <c r="L112" s="48"/>
      <c r="M112" s="48"/>
      <c r="N112" s="48"/>
      <c r="O112" s="48"/>
      <c r="P112" s="57">
        <f t="shared" ref="P112:R112" si="638">-P109</f>
        <v>0</v>
      </c>
      <c r="Q112" s="57">
        <f t="shared" si="638"/>
        <v>-216049.017</v>
      </c>
      <c r="R112" s="57">
        <f t="shared" si="638"/>
        <v>0</v>
      </c>
      <c r="S112" s="48"/>
      <c r="T112" s="48"/>
      <c r="U112" s="48"/>
      <c r="V112" s="48"/>
      <c r="W112" s="48"/>
      <c r="X112" s="48"/>
      <c r="Y112" s="57">
        <f t="shared" ref="Y112:AB112" si="639">-Y109</f>
        <v>-318054.481</v>
      </c>
      <c r="Z112" s="57">
        <f t="shared" si="639"/>
        <v>-745275.963</v>
      </c>
      <c r="AA112" s="57">
        <f t="shared" si="639"/>
        <v>-961324.98</v>
      </c>
      <c r="AB112" s="57">
        <f t="shared" si="639"/>
        <v>0</v>
      </c>
      <c r="AC112" s="125"/>
      <c r="AD112" s="125"/>
      <c r="AE112" s="125"/>
      <c r="AF112" s="125"/>
      <c r="AG112" s="125"/>
      <c r="AH112" s="134"/>
      <c r="AI112" s="57">
        <f t="shared" ref="AI112:AU112" si="640">-AI109</f>
        <v>0</v>
      </c>
      <c r="AJ112" s="57">
        <f t="shared" si="640"/>
        <v>0</v>
      </c>
      <c r="AK112" s="57">
        <f t="shared" si="640"/>
        <v>0</v>
      </c>
      <c r="AL112" s="57">
        <f t="shared" si="640"/>
        <v>0</v>
      </c>
      <c r="AM112" s="57">
        <f t="shared" si="640"/>
        <v>0</v>
      </c>
      <c r="AN112" s="57">
        <f t="shared" si="640"/>
        <v>0</v>
      </c>
      <c r="AO112" s="57">
        <f t="shared" si="640"/>
        <v>0</v>
      </c>
      <c r="AP112" s="57">
        <f t="shared" si="640"/>
        <v>0</v>
      </c>
      <c r="AQ112" s="57">
        <f t="shared" si="640"/>
        <v>0</v>
      </c>
      <c r="AR112" s="57">
        <f t="shared" si="640"/>
        <v>-154625.158</v>
      </c>
      <c r="AS112" s="57">
        <f t="shared" si="640"/>
        <v>-79064.182</v>
      </c>
      <c r="AT112" s="57">
        <f t="shared" si="640"/>
        <v>-84365.141</v>
      </c>
      <c r="AU112" s="57">
        <f t="shared" si="640"/>
        <v>-318054.481</v>
      </c>
      <c r="AV112" s="127"/>
      <c r="AW112" s="57">
        <f t="shared" ref="AW112:BI112" si="641">-AW109</f>
        <v>0</v>
      </c>
      <c r="AX112" s="57">
        <f t="shared" si="641"/>
        <v>0</v>
      </c>
      <c r="AY112" s="57">
        <f t="shared" si="641"/>
        <v>0</v>
      </c>
      <c r="AZ112" s="57">
        <f t="shared" si="641"/>
        <v>0</v>
      </c>
      <c r="BA112" s="57">
        <f t="shared" si="641"/>
        <v>0</v>
      </c>
      <c r="BB112" s="57">
        <f t="shared" si="641"/>
        <v>0</v>
      </c>
      <c r="BC112" s="57">
        <f t="shared" si="641"/>
        <v>-136627.004</v>
      </c>
      <c r="BD112" s="57">
        <f t="shared" si="641"/>
        <v>-161640.841</v>
      </c>
      <c r="BE112" s="57">
        <f t="shared" si="641"/>
        <v>-128953.637</v>
      </c>
      <c r="BF112" s="57">
        <f t="shared" si="641"/>
        <v>-154625.158</v>
      </c>
      <c r="BG112" s="57">
        <f t="shared" si="641"/>
        <v>-79064.182</v>
      </c>
      <c r="BH112" s="57">
        <f t="shared" si="641"/>
        <v>-84365.141</v>
      </c>
      <c r="BI112" s="57">
        <f t="shared" si="641"/>
        <v>-745275.963</v>
      </c>
      <c r="BJ112" s="134"/>
      <c r="BK112" s="135">
        <v>-45187.889</v>
      </c>
      <c r="BL112" s="135">
        <v>-40391.663</v>
      </c>
      <c r="BM112" s="135">
        <v>-26954.956</v>
      </c>
      <c r="BN112" s="135">
        <v>-17556.41</v>
      </c>
      <c r="BO112" s="135">
        <v>-42435.813</v>
      </c>
      <c r="BP112" s="135">
        <v>-43522.286</v>
      </c>
      <c r="BQ112" s="135">
        <v>-136627.004</v>
      </c>
      <c r="BR112" s="135">
        <v>-161640.841</v>
      </c>
      <c r="BS112" s="135">
        <v>-128953.637</v>
      </c>
      <c r="BT112" s="135">
        <v>-154625.158</v>
      </c>
      <c r="BU112" s="135">
        <v>-79064.182</v>
      </c>
      <c r="BV112" s="135">
        <v>-84365.141</v>
      </c>
      <c r="BW112" s="135">
        <v>-961324.98</v>
      </c>
      <c r="BX112" s="1"/>
      <c r="BY112" s="57"/>
      <c r="BZ112" s="57"/>
      <c r="CA112" s="57"/>
      <c r="CB112" s="57"/>
      <c r="CC112" s="57"/>
      <c r="CD112" s="57"/>
      <c r="CE112" s="57"/>
      <c r="CF112" s="57"/>
      <c r="CG112" s="57"/>
      <c r="CH112" s="57"/>
      <c r="CI112" s="57"/>
      <c r="CJ112" s="57"/>
      <c r="CK112" s="57"/>
      <c r="CL112" s="57"/>
      <c r="CM112" s="57"/>
      <c r="CN112" s="57"/>
      <c r="CO112" s="57"/>
      <c r="CP112" s="57"/>
      <c r="CQ112" s="57"/>
      <c r="CR112" s="57"/>
      <c r="CS112" s="57"/>
      <c r="CT112" s="57"/>
      <c r="CU112" s="57"/>
      <c r="CV112" s="57"/>
      <c r="CW112" s="57"/>
      <c r="CX112" s="57"/>
      <c r="CY112" s="57"/>
      <c r="CZ112" s="11"/>
      <c r="DA112" s="57">
        <f>-DA109</f>
        <v>-45187.889</v>
      </c>
      <c r="DB112" s="57"/>
      <c r="DC112" s="57"/>
      <c r="DD112" s="57"/>
      <c r="DE112" s="57"/>
      <c r="DF112" s="57"/>
      <c r="DG112" s="57"/>
      <c r="DH112" s="57"/>
      <c r="DI112" s="57"/>
      <c r="DJ112" s="57"/>
      <c r="DK112" s="57"/>
      <c r="DL112" s="57"/>
      <c r="DM112" s="57">
        <f>-DM109</f>
        <v>-45187.889</v>
      </c>
      <c r="DN112" s="1"/>
      <c r="DO112" s="121"/>
      <c r="DP112" s="121"/>
      <c r="DQ112" s="131"/>
    </row>
    <row r="113" outlineLevel="1">
      <c r="A113" s="15"/>
      <c r="B113" s="184" t="s">
        <v>119</v>
      </c>
      <c r="C113" s="185"/>
      <c r="D113" s="157">
        <f t="shared" ref="D113:G113" si="642">D111+D112</f>
        <v>0</v>
      </c>
      <c r="E113" s="157">
        <f t="shared" si="642"/>
        <v>0</v>
      </c>
      <c r="F113" s="157">
        <f t="shared" si="642"/>
        <v>328586.956</v>
      </c>
      <c r="G113" s="157">
        <f t="shared" si="642"/>
        <v>0</v>
      </c>
      <c r="H113" s="125"/>
      <c r="I113" s="75">
        <f>D113-E113</f>
        <v>0</v>
      </c>
      <c r="J113" s="60">
        <f>IFERROR(I113/(E113),0)</f>
        <v>0</v>
      </c>
      <c r="K113" s="75">
        <f>D113-F113</f>
        <v>-328586.956</v>
      </c>
      <c r="L113" s="60">
        <f>IFERROR(K113/(F113),0)</f>
        <v>-1</v>
      </c>
      <c r="M113" s="75">
        <f>D113-G113</f>
        <v>0</v>
      </c>
      <c r="N113" s="60">
        <f>IFERROR(M113/G113,0)</f>
        <v>0</v>
      </c>
      <c r="O113" s="125"/>
      <c r="P113" s="157">
        <f t="shared" ref="P113:R113" si="643">P111+P112</f>
        <v>0</v>
      </c>
      <c r="Q113" s="157">
        <f t="shared" si="643"/>
        <v>1521450.21</v>
      </c>
      <c r="R113" s="157">
        <f t="shared" si="643"/>
        <v>0</v>
      </c>
      <c r="S113" s="125"/>
      <c r="T113" s="75">
        <f>P113-Q113</f>
        <v>-1521450.21</v>
      </c>
      <c r="U113" s="60">
        <f>IFERROR(T113/Q113,0)</f>
        <v>-1</v>
      </c>
      <c r="V113" s="75">
        <f>P113-R113</f>
        <v>0</v>
      </c>
      <c r="W113" s="60">
        <f>IFERROR(V113/R113,0)</f>
        <v>0</v>
      </c>
      <c r="X113" s="125"/>
      <c r="Y113" s="157">
        <f t="shared" ref="Y113:AB113" si="644">Y111+Y112</f>
        <v>1049390.208</v>
      </c>
      <c r="Z113" s="157">
        <f t="shared" si="644"/>
        <v>2834837.718</v>
      </c>
      <c r="AA113" s="157">
        <f t="shared" si="644"/>
        <v>4356287.928</v>
      </c>
      <c r="AB113" s="157">
        <f t="shared" si="644"/>
        <v>0</v>
      </c>
      <c r="AC113" s="125"/>
      <c r="AD113" s="75">
        <f>Y113-AA113</f>
        <v>-3306897.72</v>
      </c>
      <c r="AE113" s="60">
        <f>IFERROR(AD113/AA113,0)</f>
        <v>-0.7591090797</v>
      </c>
      <c r="AF113" s="75">
        <f>Y113-AB113</f>
        <v>1049390.208</v>
      </c>
      <c r="AG113" s="60">
        <f>IFERROR(AF113/AB113,0)</f>
        <v>0</v>
      </c>
      <c r="AH113" s="134"/>
      <c r="AI113" s="157">
        <f t="shared" ref="AI113:AU113" si="645">AI111+AI112</f>
        <v>0</v>
      </c>
      <c r="AJ113" s="157">
        <f t="shared" si="645"/>
        <v>0</v>
      </c>
      <c r="AK113" s="157">
        <f t="shared" si="645"/>
        <v>0</v>
      </c>
      <c r="AL113" s="157">
        <f t="shared" si="645"/>
        <v>0</v>
      </c>
      <c r="AM113" s="157">
        <f t="shared" si="645"/>
        <v>0</v>
      </c>
      <c r="AN113" s="157">
        <f t="shared" si="645"/>
        <v>0</v>
      </c>
      <c r="AO113" s="157">
        <f t="shared" si="645"/>
        <v>0</v>
      </c>
      <c r="AP113" s="157">
        <f t="shared" si="645"/>
        <v>0</v>
      </c>
      <c r="AQ113" s="157">
        <f t="shared" si="645"/>
        <v>0</v>
      </c>
      <c r="AR113" s="157">
        <f t="shared" si="645"/>
        <v>532503.115</v>
      </c>
      <c r="AS113" s="157">
        <f t="shared" si="645"/>
        <v>242798.159</v>
      </c>
      <c r="AT113" s="157">
        <f t="shared" si="645"/>
        <v>274088.934</v>
      </c>
      <c r="AU113" s="157">
        <f t="shared" si="645"/>
        <v>1049390.208</v>
      </c>
      <c r="AV113" s="127"/>
      <c r="AW113" s="157">
        <f t="shared" ref="AW113:BI113" si="646">AW111+AW112</f>
        <v>0</v>
      </c>
      <c r="AX113" s="157">
        <f t="shared" si="646"/>
        <v>0</v>
      </c>
      <c r="AY113" s="157">
        <f t="shared" si="646"/>
        <v>0</v>
      </c>
      <c r="AZ113" s="157">
        <f t="shared" si="646"/>
        <v>0</v>
      </c>
      <c r="BA113" s="157">
        <f t="shared" si="646"/>
        <v>0</v>
      </c>
      <c r="BB113" s="157">
        <f t="shared" si="646"/>
        <v>0</v>
      </c>
      <c r="BC113" s="157">
        <f t="shared" si="646"/>
        <v>631312.373</v>
      </c>
      <c r="BD113" s="157">
        <f t="shared" si="646"/>
        <v>616052.536</v>
      </c>
      <c r="BE113" s="157">
        <f t="shared" si="646"/>
        <v>538082.601</v>
      </c>
      <c r="BF113" s="157">
        <f t="shared" si="646"/>
        <v>532503.115</v>
      </c>
      <c r="BG113" s="157">
        <f t="shared" si="646"/>
        <v>242798.159</v>
      </c>
      <c r="BH113" s="157">
        <f t="shared" si="646"/>
        <v>274088.934</v>
      </c>
      <c r="BI113" s="157">
        <f t="shared" si="646"/>
        <v>2834837.718</v>
      </c>
      <c r="BJ113" s="134"/>
      <c r="BK113" s="158">
        <v>328468.633</v>
      </c>
      <c r="BL113" s="158">
        <v>314894.517</v>
      </c>
      <c r="BM113" s="158">
        <v>200192.098</v>
      </c>
      <c r="BN113" s="158">
        <v>159670.827</v>
      </c>
      <c r="BO113" s="158">
        <v>189637.179</v>
      </c>
      <c r="BP113" s="158">
        <v>328586.956</v>
      </c>
      <c r="BQ113" s="158">
        <v>631312.373</v>
      </c>
      <c r="BR113" s="158">
        <v>616052.536</v>
      </c>
      <c r="BS113" s="158">
        <v>538082.601</v>
      </c>
      <c r="BT113" s="158">
        <v>532503.115</v>
      </c>
      <c r="BU113" s="158">
        <v>242798.159</v>
      </c>
      <c r="BV113" s="158">
        <v>274088.934</v>
      </c>
      <c r="BW113" s="158">
        <v>4356287.928</v>
      </c>
      <c r="BX113" s="1"/>
      <c r="BY113" s="157"/>
      <c r="BZ113" s="157"/>
      <c r="CA113" s="157"/>
      <c r="CB113" s="157"/>
      <c r="CC113" s="157"/>
      <c r="CD113" s="157"/>
      <c r="CE113" s="157"/>
      <c r="CF113" s="157"/>
      <c r="CG113" s="157"/>
      <c r="CH113" s="157"/>
      <c r="CI113" s="157"/>
      <c r="CJ113" s="157"/>
      <c r="CK113" s="157"/>
      <c r="CL113" s="159"/>
      <c r="CM113" s="157"/>
      <c r="CN113" s="157"/>
      <c r="CO113" s="157"/>
      <c r="CP113" s="157"/>
      <c r="CQ113" s="157"/>
      <c r="CR113" s="157"/>
      <c r="CS113" s="157"/>
      <c r="CT113" s="157"/>
      <c r="CU113" s="157"/>
      <c r="CV113" s="157"/>
      <c r="CW113" s="157"/>
      <c r="CX113" s="157"/>
      <c r="CY113" s="157"/>
      <c r="CZ113" s="11"/>
      <c r="DA113" s="157">
        <f>DA111+DA112</f>
        <v>328468.633</v>
      </c>
      <c r="DB113" s="157"/>
      <c r="DC113" s="157"/>
      <c r="DD113" s="157"/>
      <c r="DE113" s="157"/>
      <c r="DF113" s="157"/>
      <c r="DG113" s="157"/>
      <c r="DH113" s="157"/>
      <c r="DI113" s="157"/>
      <c r="DJ113" s="157"/>
      <c r="DK113" s="157"/>
      <c r="DL113" s="157"/>
      <c r="DM113" s="157">
        <f>DM111+DM112</f>
        <v>328468.633</v>
      </c>
      <c r="DN113" s="1"/>
      <c r="DO113" s="1"/>
      <c r="DP113" s="1"/>
      <c r="DQ113" s="186"/>
    </row>
    <row r="114" outlineLevel="1">
      <c r="A114" s="15"/>
      <c r="B114" s="124"/>
      <c r="C114" s="124"/>
      <c r="D114" s="187">
        <f t="shared" ref="D114:G114" si="647">D87-D89-D111</f>
        <v>0</v>
      </c>
      <c r="E114" s="187">
        <f t="shared" si="647"/>
        <v>0</v>
      </c>
      <c r="F114" s="187">
        <f t="shared" si="647"/>
        <v>-0.1863</v>
      </c>
      <c r="G114" s="187">
        <f t="shared" si="647"/>
        <v>0</v>
      </c>
      <c r="H114" s="125"/>
      <c r="I114" s="125"/>
      <c r="J114" s="125"/>
      <c r="K114" s="125"/>
      <c r="L114" s="125"/>
      <c r="M114" s="125"/>
      <c r="N114" s="125"/>
      <c r="O114" s="125"/>
      <c r="P114" s="187">
        <f t="shared" ref="P114:R114" si="648">P87-P89-P111</f>
        <v>0</v>
      </c>
      <c r="Q114" s="187">
        <f t="shared" si="648"/>
        <v>-1.1597</v>
      </c>
      <c r="R114" s="187">
        <f t="shared" si="648"/>
        <v>0</v>
      </c>
      <c r="S114" s="125"/>
      <c r="T114" s="125"/>
      <c r="U114" s="125"/>
      <c r="V114" s="125"/>
      <c r="W114" s="125"/>
      <c r="X114" s="125"/>
      <c r="Y114" s="187">
        <f t="shared" ref="Y114:AB114" si="649">Y87-Y89-Y111</f>
        <v>0.9792999998</v>
      </c>
      <c r="Z114" s="187">
        <f t="shared" si="649"/>
        <v>1.0109</v>
      </c>
      <c r="AA114" s="187">
        <f t="shared" si="649"/>
        <v>-0.1490000002</v>
      </c>
      <c r="AB114" s="187">
        <f t="shared" si="649"/>
        <v>0</v>
      </c>
      <c r="AC114" s="125"/>
      <c r="AD114" s="125"/>
      <c r="AE114" s="125"/>
      <c r="AF114" s="125"/>
      <c r="AG114" s="125"/>
      <c r="AH114" s="126"/>
      <c r="AI114" s="188">
        <f t="shared" ref="AI114:AU114" si="650">AI87-AI89-AI111</f>
        <v>0</v>
      </c>
      <c r="AJ114" s="188">
        <f t="shared" si="650"/>
        <v>0</v>
      </c>
      <c r="AK114" s="188">
        <f t="shared" si="650"/>
        <v>0</v>
      </c>
      <c r="AL114" s="188">
        <f t="shared" si="650"/>
        <v>0</v>
      </c>
      <c r="AM114" s="188">
        <f t="shared" si="650"/>
        <v>0</v>
      </c>
      <c r="AN114" s="188">
        <f t="shared" si="650"/>
        <v>0</v>
      </c>
      <c r="AO114" s="188">
        <f t="shared" si="650"/>
        <v>0</v>
      </c>
      <c r="AP114" s="188">
        <f t="shared" si="650"/>
        <v>0</v>
      </c>
      <c r="AQ114" s="188">
        <f t="shared" si="650"/>
        <v>0</v>
      </c>
      <c r="AR114" s="188">
        <f t="shared" si="650"/>
        <v>0.09680000006</v>
      </c>
      <c r="AS114" s="188">
        <f t="shared" si="650"/>
        <v>0.4253999999</v>
      </c>
      <c r="AT114" s="188">
        <f t="shared" si="650"/>
        <v>0.4570999999</v>
      </c>
      <c r="AU114" s="188">
        <f t="shared" si="650"/>
        <v>0.9792999998</v>
      </c>
      <c r="AV114" s="127"/>
      <c r="AW114" s="188">
        <f t="shared" ref="AW114:BI114" si="651">AW87-AW89-AW111</f>
        <v>0</v>
      </c>
      <c r="AX114" s="188">
        <f t="shared" si="651"/>
        <v>0</v>
      </c>
      <c r="AY114" s="188">
        <f t="shared" si="651"/>
        <v>0</v>
      </c>
      <c r="AZ114" s="188">
        <f t="shared" si="651"/>
        <v>0</v>
      </c>
      <c r="BA114" s="188">
        <f t="shared" si="651"/>
        <v>0</v>
      </c>
      <c r="BB114" s="188">
        <f t="shared" si="651"/>
        <v>0</v>
      </c>
      <c r="BC114" s="188">
        <f t="shared" si="651"/>
        <v>0.03390000004</v>
      </c>
      <c r="BD114" s="188">
        <f t="shared" si="651"/>
        <v>0.01670000015</v>
      </c>
      <c r="BE114" s="188">
        <f t="shared" si="651"/>
        <v>-0.01900000009</v>
      </c>
      <c r="BF114" s="188">
        <f t="shared" si="651"/>
        <v>0.09680000006</v>
      </c>
      <c r="BG114" s="188">
        <f t="shared" si="651"/>
        <v>0.4253999999</v>
      </c>
      <c r="BH114" s="188">
        <f t="shared" si="651"/>
        <v>0.4570999999</v>
      </c>
      <c r="BI114" s="188">
        <f t="shared" si="651"/>
        <v>1.0109</v>
      </c>
      <c r="BJ114" s="126"/>
      <c r="BK114" s="189">
        <v>-0.2285</v>
      </c>
      <c r="BL114" s="189">
        <v>-0.4611</v>
      </c>
      <c r="BM114" s="189">
        <v>-0.031</v>
      </c>
      <c r="BN114" s="189">
        <v>-0.2729</v>
      </c>
      <c r="BO114" s="189">
        <v>0.02</v>
      </c>
      <c r="BP114" s="189">
        <v>-0.1863</v>
      </c>
      <c r="BQ114" s="189">
        <v>0.0339</v>
      </c>
      <c r="BR114" s="189">
        <v>0.0167</v>
      </c>
      <c r="BS114" s="189">
        <v>-0.019</v>
      </c>
      <c r="BT114" s="189">
        <v>0.0968</v>
      </c>
      <c r="BU114" s="189">
        <v>0.4254</v>
      </c>
      <c r="BV114" s="189">
        <v>0.4571</v>
      </c>
      <c r="BW114" s="189">
        <v>-0.149</v>
      </c>
      <c r="BX114" s="1"/>
      <c r="BY114" s="188"/>
      <c r="BZ114" s="188"/>
      <c r="CA114" s="188"/>
      <c r="CB114" s="188"/>
      <c r="CC114" s="188"/>
      <c r="CD114" s="188"/>
      <c r="CE114" s="188"/>
      <c r="CF114" s="188"/>
      <c r="CG114" s="188"/>
      <c r="CH114" s="188"/>
      <c r="CI114" s="188"/>
      <c r="CJ114" s="188"/>
      <c r="CK114" s="188"/>
      <c r="CL114" s="11"/>
      <c r="CM114" s="188"/>
      <c r="CN114" s="188"/>
      <c r="CO114" s="188"/>
      <c r="CP114" s="188"/>
      <c r="CQ114" s="188"/>
      <c r="CR114" s="188"/>
      <c r="CS114" s="188"/>
      <c r="CT114" s="188"/>
      <c r="CU114" s="188"/>
      <c r="CV114" s="188"/>
      <c r="CW114" s="188"/>
      <c r="CX114" s="188"/>
      <c r="CY114" s="188"/>
      <c r="CZ114" s="11"/>
      <c r="DA114" s="187">
        <f>DA87-DA89-DA111</f>
        <v>-0.2285</v>
      </c>
      <c r="DB114" s="187"/>
      <c r="DC114" s="187"/>
      <c r="DD114" s="187"/>
      <c r="DE114" s="187"/>
      <c r="DF114" s="187"/>
      <c r="DG114" s="187"/>
      <c r="DH114" s="187"/>
      <c r="DI114" s="187"/>
      <c r="DJ114" s="187"/>
      <c r="DK114" s="187"/>
      <c r="DL114" s="187"/>
      <c r="DM114" s="187">
        <f>DM87-DM89-DM111</f>
        <v>-0.2285</v>
      </c>
      <c r="DN114" s="1"/>
      <c r="DO114" s="1"/>
      <c r="DP114" s="1"/>
      <c r="DQ114" s="131"/>
    </row>
    <row r="115" outlineLevel="1">
      <c r="A115" s="154"/>
      <c r="B115" s="152" t="s">
        <v>120</v>
      </c>
      <c r="C115" s="124"/>
      <c r="D115" s="125"/>
      <c r="E115" s="125"/>
      <c r="F115" s="125"/>
      <c r="G115" s="125"/>
      <c r="H115" s="125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34"/>
      <c r="AI115" s="11"/>
      <c r="AJ115" s="11"/>
      <c r="AK115" s="11"/>
      <c r="AL115" s="47"/>
      <c r="AM115" s="47"/>
      <c r="AN115" s="47"/>
      <c r="AO115" s="47"/>
      <c r="AP115" s="47"/>
      <c r="AQ115" s="47"/>
      <c r="AR115" s="47"/>
      <c r="AS115" s="47"/>
      <c r="AT115" s="47"/>
      <c r="AU115" s="11"/>
      <c r="AV115" s="127"/>
      <c r="AW115" s="11"/>
      <c r="AX115" s="11"/>
      <c r="AY115" s="11"/>
      <c r="AZ115" s="47"/>
      <c r="BA115" s="47"/>
      <c r="BB115" s="47"/>
      <c r="BC115" s="47"/>
      <c r="BD115" s="47"/>
      <c r="BE115" s="47"/>
      <c r="BF115" s="47"/>
      <c r="BG115" s="47"/>
      <c r="BH115" s="47"/>
      <c r="BI115" s="11"/>
      <c r="BJ115" s="134"/>
      <c r="BK115" s="11"/>
      <c r="BL115" s="11"/>
      <c r="BM115" s="11"/>
      <c r="BN115" s="47"/>
      <c r="BO115" s="47"/>
      <c r="BP115" s="47"/>
      <c r="BQ115" s="47"/>
      <c r="BR115" s="47"/>
      <c r="BS115" s="47"/>
      <c r="BT115" s="47"/>
      <c r="BU115" s="47"/>
      <c r="BV115" s="47"/>
      <c r="BW115" s="11"/>
      <c r="BX115" s="1"/>
      <c r="BY115" s="11"/>
      <c r="BZ115" s="11"/>
      <c r="CA115" s="11"/>
      <c r="CB115" s="47"/>
      <c r="CC115" s="47"/>
      <c r="CD115" s="47"/>
      <c r="CE115" s="47"/>
      <c r="CF115" s="47"/>
      <c r="CG115" s="47"/>
      <c r="CH115" s="47"/>
      <c r="CI115" s="47"/>
      <c r="CJ115" s="47"/>
      <c r="CK115" s="11"/>
      <c r="CL115" s="11"/>
      <c r="CM115" s="11"/>
      <c r="CN115" s="11"/>
      <c r="CO115" s="11"/>
      <c r="CP115" s="47"/>
      <c r="CQ115" s="47"/>
      <c r="CR115" s="47"/>
      <c r="CS115" s="47"/>
      <c r="CT115" s="47"/>
      <c r="CU115" s="47"/>
      <c r="CV115" s="47"/>
      <c r="CW115" s="47"/>
      <c r="CX115" s="47"/>
      <c r="CY115" s="11"/>
      <c r="CZ115" s="11"/>
      <c r="DA115" s="17"/>
      <c r="DB115" s="17"/>
      <c r="DC115" s="17"/>
      <c r="DD115" s="17"/>
      <c r="DE115" s="95"/>
      <c r="DF115" s="95"/>
      <c r="DG115" s="95"/>
      <c r="DH115" s="95"/>
      <c r="DI115" s="95"/>
      <c r="DJ115" s="95"/>
      <c r="DK115" s="95"/>
      <c r="DL115" s="95"/>
      <c r="DM115" s="17"/>
      <c r="DN115" s="1"/>
      <c r="DO115" s="1"/>
      <c r="DP115" s="1"/>
      <c r="DQ115" s="131"/>
    </row>
    <row r="116" outlineLevel="2">
      <c r="A116" s="154"/>
      <c r="B116" s="123" t="s">
        <v>121</v>
      </c>
      <c r="C116" s="124"/>
      <c r="D116" s="190">
        <f t="shared" ref="D116:G116" si="652">IFERROR(D100/D$48,0)</f>
        <v>0</v>
      </c>
      <c r="E116" s="190">
        <f t="shared" si="652"/>
        <v>0</v>
      </c>
      <c r="F116" s="190">
        <f t="shared" si="652"/>
        <v>2.007211713</v>
      </c>
      <c r="G116" s="190">
        <f t="shared" si="652"/>
        <v>0</v>
      </c>
      <c r="H116" s="125"/>
      <c r="I116" s="190">
        <f t="shared" ref="I116:I123" si="658">D116-E116</f>
        <v>0</v>
      </c>
      <c r="J116" s="67">
        <f t="shared" ref="J116:J123" si="659">IFERROR(I116/(E116),0)</f>
        <v>0</v>
      </c>
      <c r="K116" s="190">
        <f t="shared" ref="K116:K123" si="660">D116-F116</f>
        <v>-2.007211713</v>
      </c>
      <c r="L116" s="67">
        <f t="shared" ref="L116:L123" si="661">IFERROR(K116/(F116),0)</f>
        <v>-1</v>
      </c>
      <c r="M116" s="190">
        <f t="shared" ref="M116:M123" si="662">D116-G116</f>
        <v>0</v>
      </c>
      <c r="N116" s="67">
        <f t="shared" ref="N116:N123" si="663">IFERROR(M116/G116,0)</f>
        <v>0</v>
      </c>
      <c r="O116" s="125"/>
      <c r="P116" s="190">
        <f t="shared" ref="P116:R116" si="653">IFERROR(P100/P$48,0)</f>
        <v>0</v>
      </c>
      <c r="Q116" s="190">
        <f t="shared" si="653"/>
        <v>1.610315944</v>
      </c>
      <c r="R116" s="190">
        <f t="shared" si="653"/>
        <v>0</v>
      </c>
      <c r="S116" s="125"/>
      <c r="T116" s="190">
        <f t="shared" ref="T116:T123" si="665">P116-Q116</f>
        <v>-1.610315944</v>
      </c>
      <c r="U116" s="67">
        <f t="shared" ref="U116:U123" si="666">IFERROR(T116/Q116,0)</f>
        <v>-1</v>
      </c>
      <c r="V116" s="190">
        <f t="shared" ref="V116:V123" si="667">P116-R116</f>
        <v>0</v>
      </c>
      <c r="W116" s="67">
        <f t="shared" ref="W116:W123" si="668">IFERROR(V116/R116,0)</f>
        <v>0</v>
      </c>
      <c r="X116" s="125"/>
      <c r="Y116" s="190">
        <f t="shared" ref="Y116:AB116" si="654">IFERROR(Y100/Y$48,0)</f>
        <v>1.246508983</v>
      </c>
      <c r="Z116" s="190">
        <f t="shared" si="654"/>
        <v>1.475507879</v>
      </c>
      <c r="AA116" s="190">
        <f t="shared" si="654"/>
        <v>1.530802894</v>
      </c>
      <c r="AB116" s="190">
        <f t="shared" si="654"/>
        <v>0</v>
      </c>
      <c r="AC116" s="125"/>
      <c r="AD116" s="190">
        <f t="shared" ref="AD116:AD123" si="670">Y116-AA116</f>
        <v>-0.2842939109</v>
      </c>
      <c r="AE116" s="67">
        <f t="shared" ref="AE116:AE123" si="671">IFERROR(AD116/AA116,0)</f>
        <v>-0.1857155563</v>
      </c>
      <c r="AF116" s="190">
        <f t="shared" ref="AF116:AF123" si="672">Y116-AB116</f>
        <v>1.246508983</v>
      </c>
      <c r="AG116" s="67">
        <f t="shared" ref="AG116:AG123" si="673">IFERROR(AF116/AB116,0)</f>
        <v>0</v>
      </c>
      <c r="AH116" s="126"/>
      <c r="AI116" s="190">
        <f t="shared" ref="AI116:AU116" si="655">IFERROR(AI100/AI$48,0)</f>
        <v>0</v>
      </c>
      <c r="AJ116" s="190">
        <f t="shared" si="655"/>
        <v>0</v>
      </c>
      <c r="AK116" s="190">
        <f t="shared" si="655"/>
        <v>0</v>
      </c>
      <c r="AL116" s="190">
        <f t="shared" si="655"/>
        <v>0</v>
      </c>
      <c r="AM116" s="190">
        <f t="shared" si="655"/>
        <v>0</v>
      </c>
      <c r="AN116" s="190">
        <f t="shared" si="655"/>
        <v>0</v>
      </c>
      <c r="AO116" s="190">
        <f t="shared" si="655"/>
        <v>0</v>
      </c>
      <c r="AP116" s="190">
        <f t="shared" si="655"/>
        <v>0</v>
      </c>
      <c r="AQ116" s="190">
        <f t="shared" si="655"/>
        <v>0</v>
      </c>
      <c r="AR116" s="190">
        <f t="shared" si="655"/>
        <v>1.339999544</v>
      </c>
      <c r="AS116" s="190">
        <f t="shared" si="655"/>
        <v>1.34</v>
      </c>
      <c r="AT116" s="190">
        <f t="shared" si="655"/>
        <v>1.010000607</v>
      </c>
      <c r="AU116" s="191">
        <f t="shared" si="655"/>
        <v>1.246508983</v>
      </c>
      <c r="AV116" s="127"/>
      <c r="AW116" s="190">
        <f t="shared" ref="AW116:BI116" si="656">IFERROR(AW100/AW$48,0)</f>
        <v>0</v>
      </c>
      <c r="AX116" s="190">
        <f t="shared" si="656"/>
        <v>0</v>
      </c>
      <c r="AY116" s="190">
        <f t="shared" si="656"/>
        <v>0</v>
      </c>
      <c r="AZ116" s="190">
        <f t="shared" si="656"/>
        <v>0</v>
      </c>
      <c r="BA116" s="190">
        <f t="shared" si="656"/>
        <v>0</v>
      </c>
      <c r="BB116" s="190">
        <f t="shared" si="656"/>
        <v>0</v>
      </c>
      <c r="BC116" s="190">
        <f t="shared" si="656"/>
        <v>2.103174957</v>
      </c>
      <c r="BD116" s="190">
        <f t="shared" si="656"/>
        <v>1.342827786</v>
      </c>
      <c r="BE116" s="190">
        <f t="shared" si="656"/>
        <v>1.339999842</v>
      </c>
      <c r="BF116" s="190">
        <f t="shared" si="656"/>
        <v>1.339999544</v>
      </c>
      <c r="BG116" s="190">
        <f t="shared" si="656"/>
        <v>1.34</v>
      </c>
      <c r="BH116" s="190">
        <f t="shared" si="656"/>
        <v>1.010000607</v>
      </c>
      <c r="BI116" s="191">
        <f t="shared" si="656"/>
        <v>1.475507879</v>
      </c>
      <c r="BJ116" s="126"/>
      <c r="BK116" s="192">
        <v>1.01</v>
      </c>
      <c r="BL116" s="192">
        <v>1.02</v>
      </c>
      <c r="BM116" s="192">
        <v>1.1</v>
      </c>
      <c r="BN116" s="192">
        <v>2.0292</v>
      </c>
      <c r="BO116" s="192">
        <v>2.5</v>
      </c>
      <c r="BP116" s="192">
        <v>2.0072</v>
      </c>
      <c r="BQ116" s="192">
        <v>2.1032</v>
      </c>
      <c r="BR116" s="192">
        <v>1.3428</v>
      </c>
      <c r="BS116" s="192">
        <v>1.34</v>
      </c>
      <c r="BT116" s="192">
        <v>1.34</v>
      </c>
      <c r="BU116" s="192">
        <v>1.34</v>
      </c>
      <c r="BV116" s="192">
        <v>1.01</v>
      </c>
      <c r="BW116" s="193">
        <v>1.53</v>
      </c>
      <c r="BX116" s="1"/>
      <c r="BY116" s="190"/>
      <c r="BZ116" s="190"/>
      <c r="CA116" s="190"/>
      <c r="CB116" s="190"/>
      <c r="CC116" s="190"/>
      <c r="CD116" s="190"/>
      <c r="CE116" s="190"/>
      <c r="CF116" s="190"/>
      <c r="CG116" s="190"/>
      <c r="CH116" s="190"/>
      <c r="CI116" s="190"/>
      <c r="CJ116" s="190"/>
      <c r="CK116" s="191"/>
      <c r="CL116" s="190"/>
      <c r="CM116" s="190"/>
      <c r="CN116" s="190"/>
      <c r="CO116" s="190"/>
      <c r="CP116" s="190"/>
      <c r="CQ116" s="190"/>
      <c r="CR116" s="190"/>
      <c r="CS116" s="190"/>
      <c r="CT116" s="190"/>
      <c r="CU116" s="190"/>
      <c r="CV116" s="190"/>
      <c r="CW116" s="190"/>
      <c r="CX116" s="190"/>
      <c r="CY116" s="191"/>
      <c r="CZ116" s="11"/>
      <c r="DA116" s="190">
        <f t="shared" ref="DA116:DA119" si="676">IFERROR(DA100/DA$48,0)</f>
        <v>1.010000161</v>
      </c>
      <c r="DB116" s="190"/>
      <c r="DC116" s="190"/>
      <c r="DD116" s="190"/>
      <c r="DE116" s="190"/>
      <c r="DF116" s="190"/>
      <c r="DG116" s="190"/>
      <c r="DH116" s="190"/>
      <c r="DI116" s="190"/>
      <c r="DJ116" s="190"/>
      <c r="DK116" s="190"/>
      <c r="DL116" s="190"/>
      <c r="DM116" s="191">
        <f t="shared" ref="DM116:DM119" si="677">IFERROR(DM100/DM$48,0)</f>
        <v>1.010000161</v>
      </c>
      <c r="DN116" s="1"/>
      <c r="DO116" s="132"/>
      <c r="DP116" s="132"/>
      <c r="DQ116" s="131"/>
    </row>
    <row r="117" outlineLevel="2">
      <c r="A117" s="154"/>
      <c r="B117" s="123" t="s">
        <v>122</v>
      </c>
      <c r="C117" s="124"/>
      <c r="D117" s="190">
        <f t="shared" ref="D117:G117" si="657">IFERROR(D101/D$48,0)</f>
        <v>0</v>
      </c>
      <c r="E117" s="190">
        <f t="shared" si="657"/>
        <v>0</v>
      </c>
      <c r="F117" s="190">
        <f t="shared" si="657"/>
        <v>1.499999312</v>
      </c>
      <c r="G117" s="190">
        <f t="shared" si="657"/>
        <v>0</v>
      </c>
      <c r="H117" s="125"/>
      <c r="I117" s="190">
        <f t="shared" si="658"/>
        <v>0</v>
      </c>
      <c r="J117" s="67">
        <f t="shared" si="659"/>
        <v>0</v>
      </c>
      <c r="K117" s="190">
        <f t="shared" si="660"/>
        <v>-1.499999312</v>
      </c>
      <c r="L117" s="67">
        <f t="shared" si="661"/>
        <v>-1</v>
      </c>
      <c r="M117" s="190">
        <f t="shared" si="662"/>
        <v>0</v>
      </c>
      <c r="N117" s="67">
        <f t="shared" si="663"/>
        <v>0</v>
      </c>
      <c r="O117" s="125"/>
      <c r="P117" s="190">
        <f t="shared" ref="P117:R117" si="664">IFERROR(P101/P$48,0)</f>
        <v>0</v>
      </c>
      <c r="Q117" s="190">
        <f t="shared" si="664"/>
        <v>1.810190829</v>
      </c>
      <c r="R117" s="190">
        <f t="shared" si="664"/>
        <v>0</v>
      </c>
      <c r="S117" s="125"/>
      <c r="T117" s="190">
        <f t="shared" si="665"/>
        <v>-1.810190829</v>
      </c>
      <c r="U117" s="67">
        <f t="shared" si="666"/>
        <v>-1</v>
      </c>
      <c r="V117" s="190">
        <f t="shared" si="667"/>
        <v>0</v>
      </c>
      <c r="W117" s="67">
        <f t="shared" si="668"/>
        <v>0</v>
      </c>
      <c r="X117" s="125"/>
      <c r="Y117" s="190">
        <f t="shared" ref="Y117:AB117" si="669">IFERROR(Y101/Y$48,0)</f>
        <v>2.662589501</v>
      </c>
      <c r="Z117" s="190">
        <f t="shared" si="669"/>
        <v>1.897326995</v>
      </c>
      <c r="AA117" s="190">
        <f t="shared" si="669"/>
        <v>1.861585771</v>
      </c>
      <c r="AB117" s="190">
        <f t="shared" si="669"/>
        <v>0</v>
      </c>
      <c r="AC117" s="125"/>
      <c r="AD117" s="190">
        <f t="shared" si="670"/>
        <v>0.8010037296</v>
      </c>
      <c r="AE117" s="67">
        <f t="shared" si="671"/>
        <v>0.4302803245</v>
      </c>
      <c r="AF117" s="190">
        <f t="shared" si="672"/>
        <v>2.662589501</v>
      </c>
      <c r="AG117" s="67">
        <f t="shared" si="673"/>
        <v>0</v>
      </c>
      <c r="AH117" s="126"/>
      <c r="AI117" s="190">
        <f t="shared" ref="AI117:AU117" si="674">IFERROR(AI101/AI$48,0)</f>
        <v>0</v>
      </c>
      <c r="AJ117" s="190">
        <f t="shared" si="674"/>
        <v>0</v>
      </c>
      <c r="AK117" s="190">
        <f t="shared" si="674"/>
        <v>0</v>
      </c>
      <c r="AL117" s="190">
        <f t="shared" si="674"/>
        <v>0</v>
      </c>
      <c r="AM117" s="190">
        <f t="shared" si="674"/>
        <v>0</v>
      </c>
      <c r="AN117" s="190">
        <f t="shared" si="674"/>
        <v>0</v>
      </c>
      <c r="AO117" s="190">
        <f t="shared" si="674"/>
        <v>0</v>
      </c>
      <c r="AP117" s="190">
        <f t="shared" si="674"/>
        <v>0</v>
      </c>
      <c r="AQ117" s="190">
        <f t="shared" si="674"/>
        <v>0</v>
      </c>
      <c r="AR117" s="190">
        <f t="shared" si="674"/>
        <v>2.309999842</v>
      </c>
      <c r="AS117" s="190">
        <f t="shared" si="674"/>
        <v>2.976914607</v>
      </c>
      <c r="AT117" s="190">
        <f t="shared" si="674"/>
        <v>2.976929431</v>
      </c>
      <c r="AU117" s="191">
        <f t="shared" si="674"/>
        <v>2.662589501</v>
      </c>
      <c r="AV117" s="127"/>
      <c r="AW117" s="190">
        <f t="shared" ref="AW117:BI117" si="675">IFERROR(AW101/AW$48,0)</f>
        <v>0</v>
      </c>
      <c r="AX117" s="190">
        <f t="shared" si="675"/>
        <v>0</v>
      </c>
      <c r="AY117" s="190">
        <f t="shared" si="675"/>
        <v>0</v>
      </c>
      <c r="AZ117" s="190">
        <f t="shared" si="675"/>
        <v>0</v>
      </c>
      <c r="BA117" s="190">
        <f t="shared" si="675"/>
        <v>0</v>
      </c>
      <c r="BB117" s="190">
        <f t="shared" si="675"/>
        <v>0</v>
      </c>
      <c r="BC117" s="190">
        <f t="shared" si="675"/>
        <v>1.066468163</v>
      </c>
      <c r="BD117" s="190">
        <f t="shared" si="675"/>
        <v>1.151577064</v>
      </c>
      <c r="BE117" s="190">
        <f t="shared" si="675"/>
        <v>2.148537978</v>
      </c>
      <c r="BF117" s="190">
        <f t="shared" si="675"/>
        <v>2.309999842</v>
      </c>
      <c r="BG117" s="190">
        <f t="shared" si="675"/>
        <v>2.976914607</v>
      </c>
      <c r="BH117" s="190">
        <f t="shared" si="675"/>
        <v>2.976929431</v>
      </c>
      <c r="BI117" s="191">
        <f t="shared" si="675"/>
        <v>1.897326995</v>
      </c>
      <c r="BJ117" s="126"/>
      <c r="BK117" s="192">
        <v>1.8853</v>
      </c>
      <c r="BL117" s="192">
        <v>1.5675</v>
      </c>
      <c r="BM117" s="192">
        <v>2.1319</v>
      </c>
      <c r="BN117" s="192">
        <v>2.51</v>
      </c>
      <c r="BO117" s="192">
        <v>1.5</v>
      </c>
      <c r="BP117" s="192">
        <v>1.5</v>
      </c>
      <c r="BQ117" s="192">
        <v>1.0665</v>
      </c>
      <c r="BR117" s="192">
        <v>1.1516</v>
      </c>
      <c r="BS117" s="192">
        <v>2.1485</v>
      </c>
      <c r="BT117" s="192">
        <v>2.31</v>
      </c>
      <c r="BU117" s="192">
        <v>2.9769</v>
      </c>
      <c r="BV117" s="192">
        <v>2.9769</v>
      </c>
      <c r="BW117" s="193">
        <v>1.9</v>
      </c>
      <c r="BX117" s="1"/>
      <c r="BY117" s="190"/>
      <c r="BZ117" s="190"/>
      <c r="CA117" s="190"/>
      <c r="CB117" s="190"/>
      <c r="CC117" s="190"/>
      <c r="CD117" s="190"/>
      <c r="CE117" s="190"/>
      <c r="CF117" s="190"/>
      <c r="CG117" s="190"/>
      <c r="CH117" s="190"/>
      <c r="CI117" s="190"/>
      <c r="CJ117" s="190"/>
      <c r="CK117" s="191"/>
      <c r="CL117" s="190"/>
      <c r="CM117" s="190"/>
      <c r="CN117" s="190"/>
      <c r="CO117" s="190"/>
      <c r="CP117" s="190"/>
      <c r="CQ117" s="190"/>
      <c r="CR117" s="190"/>
      <c r="CS117" s="190"/>
      <c r="CT117" s="190"/>
      <c r="CU117" s="190"/>
      <c r="CV117" s="190"/>
      <c r="CW117" s="190"/>
      <c r="CX117" s="190"/>
      <c r="CY117" s="191"/>
      <c r="CZ117" s="11"/>
      <c r="DA117" s="190">
        <f t="shared" si="676"/>
        <v>1.885276796</v>
      </c>
      <c r="DB117" s="190"/>
      <c r="DC117" s="190"/>
      <c r="DD117" s="190"/>
      <c r="DE117" s="190"/>
      <c r="DF117" s="190"/>
      <c r="DG117" s="190"/>
      <c r="DH117" s="190"/>
      <c r="DI117" s="190"/>
      <c r="DJ117" s="190"/>
      <c r="DK117" s="190"/>
      <c r="DL117" s="190"/>
      <c r="DM117" s="191">
        <f t="shared" si="677"/>
        <v>1.885276796</v>
      </c>
      <c r="DN117" s="1"/>
      <c r="DO117" s="132"/>
      <c r="DP117" s="132"/>
      <c r="DQ117" s="131"/>
    </row>
    <row r="118" outlineLevel="2">
      <c r="A118" s="154"/>
      <c r="B118" s="123" t="s">
        <v>123</v>
      </c>
      <c r="C118" s="124"/>
      <c r="D118" s="190">
        <f t="shared" ref="D118:G118" si="678">IFERROR(D102/D$48,0)</f>
        <v>0</v>
      </c>
      <c r="E118" s="190">
        <f t="shared" si="678"/>
        <v>0</v>
      </c>
      <c r="F118" s="190">
        <f t="shared" si="678"/>
        <v>16.06850883</v>
      </c>
      <c r="G118" s="190">
        <f t="shared" si="678"/>
        <v>0</v>
      </c>
      <c r="H118" s="125"/>
      <c r="I118" s="190">
        <f t="shared" si="658"/>
        <v>0</v>
      </c>
      <c r="J118" s="67">
        <f t="shared" si="659"/>
        <v>0</v>
      </c>
      <c r="K118" s="190">
        <f t="shared" si="660"/>
        <v>-16.06850883</v>
      </c>
      <c r="L118" s="67">
        <f t="shared" si="661"/>
        <v>-1</v>
      </c>
      <c r="M118" s="190">
        <f t="shared" si="662"/>
        <v>0</v>
      </c>
      <c r="N118" s="67">
        <f t="shared" si="663"/>
        <v>0</v>
      </c>
      <c r="O118" s="125"/>
      <c r="P118" s="190">
        <f t="shared" ref="P118:R118" si="679">IFERROR(P102/P$48,0)</f>
        <v>0</v>
      </c>
      <c r="Q118" s="190">
        <f t="shared" si="679"/>
        <v>18.67234063</v>
      </c>
      <c r="R118" s="190">
        <f t="shared" si="679"/>
        <v>0</v>
      </c>
      <c r="S118" s="125"/>
      <c r="T118" s="190">
        <f t="shared" si="665"/>
        <v>-18.67234063</v>
      </c>
      <c r="U118" s="67">
        <f t="shared" si="666"/>
        <v>-1</v>
      </c>
      <c r="V118" s="190">
        <f t="shared" si="667"/>
        <v>0</v>
      </c>
      <c r="W118" s="67">
        <f t="shared" si="668"/>
        <v>0</v>
      </c>
      <c r="X118" s="125"/>
      <c r="Y118" s="190">
        <f t="shared" ref="Y118:AB118" si="680">IFERROR(Y102/Y$48,0)</f>
        <v>13.5864667</v>
      </c>
      <c r="Z118" s="190">
        <f t="shared" si="680"/>
        <v>20.28317845</v>
      </c>
      <c r="AA118" s="190">
        <f t="shared" si="680"/>
        <v>19.62245071</v>
      </c>
      <c r="AB118" s="190">
        <f t="shared" si="680"/>
        <v>0</v>
      </c>
      <c r="AC118" s="125"/>
      <c r="AD118" s="190">
        <f t="shared" si="670"/>
        <v>-6.035984007</v>
      </c>
      <c r="AE118" s="67">
        <f t="shared" si="671"/>
        <v>-0.3076060222</v>
      </c>
      <c r="AF118" s="190">
        <f t="shared" si="672"/>
        <v>13.5864667</v>
      </c>
      <c r="AG118" s="67">
        <f t="shared" si="673"/>
        <v>0</v>
      </c>
      <c r="AH118" s="126"/>
      <c r="AI118" s="190">
        <f t="shared" ref="AI118:AU118" si="681">IFERROR(AI102/AI$48,0)</f>
        <v>0</v>
      </c>
      <c r="AJ118" s="190">
        <f t="shared" si="681"/>
        <v>0</v>
      </c>
      <c r="AK118" s="190">
        <f t="shared" si="681"/>
        <v>0</v>
      </c>
      <c r="AL118" s="190">
        <f t="shared" si="681"/>
        <v>0</v>
      </c>
      <c r="AM118" s="190">
        <f t="shared" si="681"/>
        <v>0</v>
      </c>
      <c r="AN118" s="190">
        <f t="shared" si="681"/>
        <v>0</v>
      </c>
      <c r="AO118" s="190">
        <f t="shared" si="681"/>
        <v>0</v>
      </c>
      <c r="AP118" s="190">
        <f t="shared" si="681"/>
        <v>0</v>
      </c>
      <c r="AQ118" s="190">
        <f t="shared" si="681"/>
        <v>0</v>
      </c>
      <c r="AR118" s="190">
        <f t="shared" si="681"/>
        <v>11.27251265</v>
      </c>
      <c r="AS118" s="190">
        <f t="shared" si="681"/>
        <v>15.13601573</v>
      </c>
      <c r="AT118" s="190">
        <f t="shared" si="681"/>
        <v>16.09396118</v>
      </c>
      <c r="AU118" s="191">
        <f t="shared" si="681"/>
        <v>13.5864667</v>
      </c>
      <c r="AV118" s="127"/>
      <c r="AW118" s="190">
        <f t="shared" ref="AW118:BI118" si="682">IFERROR(AW102/AW$48,0)</f>
        <v>0</v>
      </c>
      <c r="AX118" s="190">
        <f t="shared" si="682"/>
        <v>0</v>
      </c>
      <c r="AY118" s="190">
        <f t="shared" si="682"/>
        <v>0</v>
      </c>
      <c r="AZ118" s="190">
        <f t="shared" si="682"/>
        <v>0</v>
      </c>
      <c r="BA118" s="190">
        <f t="shared" si="682"/>
        <v>0</v>
      </c>
      <c r="BB118" s="190">
        <f t="shared" si="682"/>
        <v>0</v>
      </c>
      <c r="BC118" s="190">
        <f t="shared" si="682"/>
        <v>25.92999983</v>
      </c>
      <c r="BD118" s="190">
        <f t="shared" si="682"/>
        <v>25.93000094</v>
      </c>
      <c r="BE118" s="190">
        <f t="shared" si="682"/>
        <v>21.06999974</v>
      </c>
      <c r="BF118" s="190">
        <f t="shared" si="682"/>
        <v>11.27251265</v>
      </c>
      <c r="BG118" s="190">
        <f t="shared" si="682"/>
        <v>15.13601573</v>
      </c>
      <c r="BH118" s="190">
        <f t="shared" si="682"/>
        <v>16.09396118</v>
      </c>
      <c r="BI118" s="191">
        <f t="shared" si="682"/>
        <v>20.28317845</v>
      </c>
      <c r="BJ118" s="126"/>
      <c r="BK118" s="192">
        <v>25.9273</v>
      </c>
      <c r="BL118" s="192">
        <v>18.4365</v>
      </c>
      <c r="BM118" s="192">
        <v>21.066</v>
      </c>
      <c r="BN118" s="192">
        <v>17.8175</v>
      </c>
      <c r="BO118" s="192">
        <v>12.7171</v>
      </c>
      <c r="BP118" s="192">
        <v>16.0685</v>
      </c>
      <c r="BQ118" s="192">
        <v>25.93</v>
      </c>
      <c r="BR118" s="192">
        <v>25.93</v>
      </c>
      <c r="BS118" s="192">
        <v>21.07</v>
      </c>
      <c r="BT118" s="192">
        <v>11.2725</v>
      </c>
      <c r="BU118" s="192">
        <v>15.136</v>
      </c>
      <c r="BV118" s="192">
        <v>16.094</v>
      </c>
      <c r="BW118" s="193">
        <v>19.62</v>
      </c>
      <c r="BX118" s="1"/>
      <c r="BY118" s="190"/>
      <c r="BZ118" s="190"/>
      <c r="CA118" s="190"/>
      <c r="CB118" s="190"/>
      <c r="CC118" s="190"/>
      <c r="CD118" s="190"/>
      <c r="CE118" s="190"/>
      <c r="CF118" s="190"/>
      <c r="CG118" s="190"/>
      <c r="CH118" s="190"/>
      <c r="CI118" s="190"/>
      <c r="CJ118" s="190"/>
      <c r="CK118" s="191"/>
      <c r="CL118" s="190"/>
      <c r="CM118" s="190"/>
      <c r="CN118" s="190"/>
      <c r="CO118" s="190"/>
      <c r="CP118" s="190"/>
      <c r="CQ118" s="190"/>
      <c r="CR118" s="190"/>
      <c r="CS118" s="190"/>
      <c r="CT118" s="190"/>
      <c r="CU118" s="190"/>
      <c r="CV118" s="190"/>
      <c r="CW118" s="190"/>
      <c r="CX118" s="190"/>
      <c r="CY118" s="191"/>
      <c r="CZ118" s="11"/>
      <c r="DA118" s="190">
        <f t="shared" si="676"/>
        <v>25.92734305</v>
      </c>
      <c r="DB118" s="190"/>
      <c r="DC118" s="190"/>
      <c r="DD118" s="190"/>
      <c r="DE118" s="190"/>
      <c r="DF118" s="190"/>
      <c r="DG118" s="190"/>
      <c r="DH118" s="190"/>
      <c r="DI118" s="190"/>
      <c r="DJ118" s="190"/>
      <c r="DK118" s="190"/>
      <c r="DL118" s="190"/>
      <c r="DM118" s="191">
        <f t="shared" si="677"/>
        <v>25.92734305</v>
      </c>
      <c r="DN118" s="1"/>
      <c r="DO118" s="132"/>
      <c r="DP118" s="132"/>
      <c r="DQ118" s="131"/>
    </row>
    <row r="119" outlineLevel="2">
      <c r="A119" s="154"/>
      <c r="B119" s="123" t="s">
        <v>124</v>
      </c>
      <c r="C119" s="124"/>
      <c r="D119" s="190">
        <f t="shared" ref="D119:G119" si="683">IFERROR(D103/D$48,0)</f>
        <v>0</v>
      </c>
      <c r="E119" s="190">
        <f t="shared" si="683"/>
        <v>0</v>
      </c>
      <c r="F119" s="190">
        <f t="shared" si="683"/>
        <v>9.249999579</v>
      </c>
      <c r="G119" s="190">
        <f t="shared" si="683"/>
        <v>0</v>
      </c>
      <c r="H119" s="125"/>
      <c r="I119" s="190">
        <f t="shared" si="658"/>
        <v>0</v>
      </c>
      <c r="J119" s="67">
        <f t="shared" si="659"/>
        <v>0</v>
      </c>
      <c r="K119" s="190">
        <f t="shared" si="660"/>
        <v>-9.249999579</v>
      </c>
      <c r="L119" s="67">
        <f t="shared" si="661"/>
        <v>-1</v>
      </c>
      <c r="M119" s="190">
        <f t="shared" si="662"/>
        <v>0</v>
      </c>
      <c r="N119" s="67">
        <f t="shared" si="663"/>
        <v>0</v>
      </c>
      <c r="O119" s="125"/>
      <c r="P119" s="190">
        <f t="shared" ref="P119:R119" si="684">IFERROR(P103/P$48,0)</f>
        <v>0</v>
      </c>
      <c r="Q119" s="190">
        <f t="shared" si="684"/>
        <v>8.473996523</v>
      </c>
      <c r="R119" s="190">
        <f t="shared" si="684"/>
        <v>0</v>
      </c>
      <c r="S119" s="125"/>
      <c r="T119" s="190">
        <f t="shared" si="665"/>
        <v>-8.473996523</v>
      </c>
      <c r="U119" s="67">
        <f t="shared" si="666"/>
        <v>-1</v>
      </c>
      <c r="V119" s="190">
        <f t="shared" si="667"/>
        <v>0</v>
      </c>
      <c r="W119" s="67">
        <f t="shared" si="668"/>
        <v>0</v>
      </c>
      <c r="X119" s="125"/>
      <c r="Y119" s="190">
        <f t="shared" ref="Y119:AB119" si="685">IFERROR(Y103/Y$48,0)</f>
        <v>7.052868707</v>
      </c>
      <c r="Z119" s="190">
        <f t="shared" si="685"/>
        <v>7.990998915</v>
      </c>
      <c r="AA119" s="190">
        <f t="shared" si="685"/>
        <v>8.189112808</v>
      </c>
      <c r="AB119" s="190">
        <f t="shared" si="685"/>
        <v>0</v>
      </c>
      <c r="AC119" s="125"/>
      <c r="AD119" s="190">
        <f t="shared" si="670"/>
        <v>-1.136244102</v>
      </c>
      <c r="AE119" s="67">
        <f t="shared" si="671"/>
        <v>-0.1387505739</v>
      </c>
      <c r="AF119" s="190">
        <f t="shared" si="672"/>
        <v>7.052868707</v>
      </c>
      <c r="AG119" s="67">
        <f t="shared" si="673"/>
        <v>0</v>
      </c>
      <c r="AH119" s="126"/>
      <c r="AI119" s="190">
        <f t="shared" ref="AI119:AU119" si="686">IFERROR(AI103/AI$48,0)</f>
        <v>0</v>
      </c>
      <c r="AJ119" s="190">
        <f t="shared" si="686"/>
        <v>0</v>
      </c>
      <c r="AK119" s="190">
        <f t="shared" si="686"/>
        <v>0</v>
      </c>
      <c r="AL119" s="190">
        <f t="shared" si="686"/>
        <v>0</v>
      </c>
      <c r="AM119" s="190">
        <f t="shared" si="686"/>
        <v>0</v>
      </c>
      <c r="AN119" s="190">
        <f t="shared" si="686"/>
        <v>0</v>
      </c>
      <c r="AO119" s="190">
        <f t="shared" si="686"/>
        <v>0</v>
      </c>
      <c r="AP119" s="190">
        <f t="shared" si="686"/>
        <v>0</v>
      </c>
      <c r="AQ119" s="190">
        <f t="shared" si="686"/>
        <v>0</v>
      </c>
      <c r="AR119" s="190">
        <f t="shared" si="686"/>
        <v>7.000000585</v>
      </c>
      <c r="AS119" s="190">
        <f t="shared" si="686"/>
        <v>7.1</v>
      </c>
      <c r="AT119" s="190">
        <f t="shared" si="686"/>
        <v>7.100001012</v>
      </c>
      <c r="AU119" s="191">
        <f t="shared" si="686"/>
        <v>7.052868707</v>
      </c>
      <c r="AV119" s="127"/>
      <c r="AW119" s="190">
        <f t="shared" ref="AW119:BI119" si="687">IFERROR(AW103/AW$48,0)</f>
        <v>0</v>
      </c>
      <c r="AX119" s="190">
        <f t="shared" si="687"/>
        <v>0</v>
      </c>
      <c r="AY119" s="190">
        <f t="shared" si="687"/>
        <v>0</v>
      </c>
      <c r="AZ119" s="190">
        <f t="shared" si="687"/>
        <v>0</v>
      </c>
      <c r="BA119" s="190">
        <f t="shared" si="687"/>
        <v>0</v>
      </c>
      <c r="BB119" s="190">
        <f t="shared" si="687"/>
        <v>0</v>
      </c>
      <c r="BC119" s="190">
        <f t="shared" si="687"/>
        <v>9.248016209</v>
      </c>
      <c r="BD119" s="190">
        <f t="shared" si="687"/>
        <v>9.250000102</v>
      </c>
      <c r="BE119" s="190">
        <f t="shared" si="687"/>
        <v>7.000000232</v>
      </c>
      <c r="BF119" s="190">
        <f t="shared" si="687"/>
        <v>7.000000585</v>
      </c>
      <c r="BG119" s="190">
        <f t="shared" si="687"/>
        <v>7.1</v>
      </c>
      <c r="BH119" s="190">
        <f t="shared" si="687"/>
        <v>7.100001012</v>
      </c>
      <c r="BI119" s="191">
        <f t="shared" si="687"/>
        <v>7.990998915</v>
      </c>
      <c r="BJ119" s="126"/>
      <c r="BK119" s="192">
        <v>9.4417</v>
      </c>
      <c r="BL119" s="192">
        <v>7.1</v>
      </c>
      <c r="BM119" s="192">
        <v>8.8865</v>
      </c>
      <c r="BN119" s="192">
        <v>7.0985</v>
      </c>
      <c r="BO119" s="192">
        <v>8.9063</v>
      </c>
      <c r="BP119" s="192">
        <v>9.25</v>
      </c>
      <c r="BQ119" s="192">
        <v>9.248</v>
      </c>
      <c r="BR119" s="192">
        <v>9.25</v>
      </c>
      <c r="BS119" s="192">
        <v>7.0</v>
      </c>
      <c r="BT119" s="192">
        <v>7.0</v>
      </c>
      <c r="BU119" s="192">
        <v>7.1</v>
      </c>
      <c r="BV119" s="192">
        <v>7.1</v>
      </c>
      <c r="BW119" s="193">
        <v>8.19</v>
      </c>
      <c r="BX119" s="1"/>
      <c r="BY119" s="190"/>
      <c r="BZ119" s="190"/>
      <c r="CA119" s="190"/>
      <c r="CB119" s="190"/>
      <c r="CC119" s="190"/>
      <c r="CD119" s="190"/>
      <c r="CE119" s="190"/>
      <c r="CF119" s="190"/>
      <c r="CG119" s="190"/>
      <c r="CH119" s="190"/>
      <c r="CI119" s="190"/>
      <c r="CJ119" s="190"/>
      <c r="CK119" s="191"/>
      <c r="CL119" s="190"/>
      <c r="CM119" s="190"/>
      <c r="CN119" s="190"/>
      <c r="CO119" s="190"/>
      <c r="CP119" s="190"/>
      <c r="CQ119" s="190"/>
      <c r="CR119" s="190"/>
      <c r="CS119" s="190"/>
      <c r="CT119" s="190"/>
      <c r="CU119" s="190"/>
      <c r="CV119" s="190"/>
      <c r="CW119" s="190"/>
      <c r="CX119" s="190"/>
      <c r="CY119" s="191"/>
      <c r="CZ119" s="11"/>
      <c r="DA119" s="190">
        <f t="shared" si="676"/>
        <v>9.441682624</v>
      </c>
      <c r="DB119" s="190"/>
      <c r="DC119" s="190"/>
      <c r="DD119" s="190"/>
      <c r="DE119" s="190"/>
      <c r="DF119" s="190"/>
      <c r="DG119" s="190"/>
      <c r="DH119" s="190"/>
      <c r="DI119" s="190"/>
      <c r="DJ119" s="190"/>
      <c r="DK119" s="190"/>
      <c r="DL119" s="190"/>
      <c r="DM119" s="191">
        <f t="shared" si="677"/>
        <v>9.441682624</v>
      </c>
      <c r="DN119" s="1"/>
      <c r="DO119" s="132"/>
      <c r="DP119" s="132"/>
      <c r="DQ119" s="131"/>
    </row>
    <row r="120" outlineLevel="2">
      <c r="A120" s="154"/>
      <c r="B120" s="123" t="s">
        <v>125</v>
      </c>
      <c r="C120" s="124"/>
      <c r="D120" s="190">
        <f t="shared" ref="D120:G120" si="688">IFERROR(D107/D$48,0)</f>
        <v>0</v>
      </c>
      <c r="E120" s="190">
        <f t="shared" si="688"/>
        <v>0</v>
      </c>
      <c r="F120" s="190">
        <f t="shared" si="688"/>
        <v>4.909999674</v>
      </c>
      <c r="G120" s="190">
        <f t="shared" si="688"/>
        <v>0</v>
      </c>
      <c r="H120" s="125"/>
      <c r="I120" s="190">
        <f t="shared" si="658"/>
        <v>0</v>
      </c>
      <c r="J120" s="67">
        <f t="shared" si="659"/>
        <v>0</v>
      </c>
      <c r="K120" s="190">
        <f t="shared" si="660"/>
        <v>-4.909999674</v>
      </c>
      <c r="L120" s="67">
        <f t="shared" si="661"/>
        <v>-1</v>
      </c>
      <c r="M120" s="190">
        <f t="shared" si="662"/>
        <v>0</v>
      </c>
      <c r="N120" s="67">
        <f t="shared" si="663"/>
        <v>0</v>
      </c>
      <c r="O120" s="125"/>
      <c r="P120" s="190">
        <f t="shared" ref="P120:R120" si="689">IFERROR(P107/P$48,0)</f>
        <v>0</v>
      </c>
      <c r="Q120" s="190">
        <f t="shared" si="689"/>
        <v>0.9809119072</v>
      </c>
      <c r="R120" s="190">
        <f t="shared" si="689"/>
        <v>0</v>
      </c>
      <c r="S120" s="125"/>
      <c r="T120" s="190">
        <f t="shared" si="665"/>
        <v>-0.9809119072</v>
      </c>
      <c r="U120" s="67">
        <f t="shared" si="666"/>
        <v>-1</v>
      </c>
      <c r="V120" s="190">
        <f t="shared" si="667"/>
        <v>0</v>
      </c>
      <c r="W120" s="67">
        <f t="shared" si="668"/>
        <v>0</v>
      </c>
      <c r="X120" s="125"/>
      <c r="Y120" s="190">
        <f t="shared" ref="Y120:AB120" si="690">IFERROR(Y107/Y$48,0)</f>
        <v>4.909999866</v>
      </c>
      <c r="Z120" s="190">
        <f t="shared" si="690"/>
        <v>4.909999883</v>
      </c>
      <c r="AA120" s="190">
        <f t="shared" si="690"/>
        <v>3.298381628</v>
      </c>
      <c r="AB120" s="190">
        <f t="shared" si="690"/>
        <v>0</v>
      </c>
      <c r="AC120" s="125"/>
      <c r="AD120" s="190">
        <f t="shared" si="670"/>
        <v>1.611618238</v>
      </c>
      <c r="AE120" s="67">
        <f t="shared" si="671"/>
        <v>0.4886087845</v>
      </c>
      <c r="AF120" s="190">
        <f t="shared" si="672"/>
        <v>4.909999866</v>
      </c>
      <c r="AG120" s="67">
        <f t="shared" si="673"/>
        <v>0</v>
      </c>
      <c r="AH120" s="126"/>
      <c r="AI120" s="190">
        <f t="shared" ref="AI120:AU120" si="691">IFERROR(AI107/AI$48,0)</f>
        <v>0</v>
      </c>
      <c r="AJ120" s="190">
        <f t="shared" si="691"/>
        <v>0</v>
      </c>
      <c r="AK120" s="190">
        <f t="shared" si="691"/>
        <v>0</v>
      </c>
      <c r="AL120" s="190">
        <f t="shared" si="691"/>
        <v>0</v>
      </c>
      <c r="AM120" s="190">
        <f t="shared" si="691"/>
        <v>0</v>
      </c>
      <c r="AN120" s="190">
        <f t="shared" si="691"/>
        <v>0</v>
      </c>
      <c r="AO120" s="190">
        <f t="shared" si="691"/>
        <v>0</v>
      </c>
      <c r="AP120" s="190">
        <f t="shared" si="691"/>
        <v>0</v>
      </c>
      <c r="AQ120" s="190">
        <f t="shared" si="691"/>
        <v>0</v>
      </c>
      <c r="AR120" s="190">
        <f t="shared" si="691"/>
        <v>4.909999725</v>
      </c>
      <c r="AS120" s="190">
        <f t="shared" si="691"/>
        <v>4.91</v>
      </c>
      <c r="AT120" s="190">
        <f t="shared" si="691"/>
        <v>4.909999984</v>
      </c>
      <c r="AU120" s="191">
        <f t="shared" si="691"/>
        <v>4.909999866</v>
      </c>
      <c r="AV120" s="127"/>
      <c r="AW120" s="190">
        <f t="shared" ref="AW120:BI120" si="692">IFERROR(AW107/AW$48,0)</f>
        <v>0</v>
      </c>
      <c r="AX120" s="190">
        <f t="shared" si="692"/>
        <v>0</v>
      </c>
      <c r="AY120" s="190">
        <f t="shared" si="692"/>
        <v>0</v>
      </c>
      <c r="AZ120" s="190">
        <f t="shared" si="692"/>
        <v>0</v>
      </c>
      <c r="BA120" s="190">
        <f t="shared" si="692"/>
        <v>0</v>
      </c>
      <c r="BB120" s="190">
        <f t="shared" si="692"/>
        <v>0</v>
      </c>
      <c r="BC120" s="190">
        <f t="shared" si="692"/>
        <v>4.909999588</v>
      </c>
      <c r="BD120" s="190">
        <f t="shared" si="692"/>
        <v>4.910000504</v>
      </c>
      <c r="BE120" s="190">
        <f t="shared" si="692"/>
        <v>4.909999577</v>
      </c>
      <c r="BF120" s="190">
        <f t="shared" si="692"/>
        <v>4.909999725</v>
      </c>
      <c r="BG120" s="190">
        <f t="shared" si="692"/>
        <v>4.91</v>
      </c>
      <c r="BH120" s="190">
        <f t="shared" si="692"/>
        <v>4.909999984</v>
      </c>
      <c r="BI120" s="191">
        <f t="shared" si="692"/>
        <v>4.909999883</v>
      </c>
      <c r="BJ120" s="126"/>
      <c r="BK120" s="192">
        <v>0.0</v>
      </c>
      <c r="BL120" s="192">
        <v>0.0</v>
      </c>
      <c r="BM120" s="192">
        <v>0.0</v>
      </c>
      <c r="BN120" s="192">
        <v>0.0</v>
      </c>
      <c r="BO120" s="192">
        <v>0.0</v>
      </c>
      <c r="BP120" s="192">
        <v>4.91</v>
      </c>
      <c r="BQ120" s="192">
        <v>4.91</v>
      </c>
      <c r="BR120" s="192">
        <v>4.91</v>
      </c>
      <c r="BS120" s="192">
        <v>4.91</v>
      </c>
      <c r="BT120" s="192">
        <v>4.91</v>
      </c>
      <c r="BU120" s="192">
        <v>4.91</v>
      </c>
      <c r="BV120" s="192">
        <v>4.91</v>
      </c>
      <c r="BW120" s="193">
        <v>3.2984</v>
      </c>
      <c r="BX120" s="1"/>
      <c r="BY120" s="190"/>
      <c r="BZ120" s="190"/>
      <c r="CA120" s="190"/>
      <c r="CB120" s="190"/>
      <c r="CC120" s="190"/>
      <c r="CD120" s="190"/>
      <c r="CE120" s="190"/>
      <c r="CF120" s="190"/>
      <c r="CG120" s="190"/>
      <c r="CH120" s="190"/>
      <c r="CI120" s="190"/>
      <c r="CJ120" s="190"/>
      <c r="CK120" s="191"/>
      <c r="CL120" s="190"/>
      <c r="CM120" s="190"/>
      <c r="CN120" s="190"/>
      <c r="CO120" s="190"/>
      <c r="CP120" s="190"/>
      <c r="CQ120" s="190"/>
      <c r="CR120" s="190"/>
      <c r="CS120" s="190"/>
      <c r="CT120" s="190"/>
      <c r="CU120" s="190"/>
      <c r="CV120" s="190"/>
      <c r="CW120" s="190"/>
      <c r="CX120" s="190"/>
      <c r="CY120" s="191"/>
      <c r="CZ120" s="11"/>
      <c r="DA120" s="190">
        <f>IFERROR(DA107/DA$48,0)</f>
        <v>0</v>
      </c>
      <c r="DB120" s="190"/>
      <c r="DC120" s="190"/>
      <c r="DD120" s="190"/>
      <c r="DE120" s="190"/>
      <c r="DF120" s="190"/>
      <c r="DG120" s="190"/>
      <c r="DH120" s="190"/>
      <c r="DI120" s="190"/>
      <c r="DJ120" s="190"/>
      <c r="DK120" s="190"/>
      <c r="DL120" s="190"/>
      <c r="DM120" s="191">
        <f>IFERROR(DM107/DM$48,0)</f>
        <v>0</v>
      </c>
      <c r="DN120" s="1"/>
      <c r="DO120" s="132"/>
      <c r="DP120" s="132"/>
      <c r="DQ120" s="131"/>
    </row>
    <row r="121" outlineLevel="2">
      <c r="A121" s="194"/>
      <c r="B121" s="195" t="s">
        <v>126</v>
      </c>
      <c r="C121" s="196"/>
      <c r="D121" s="197">
        <f t="shared" ref="D121:G121" si="693">IFERROR(D100/D98,0)</f>
        <v>0</v>
      </c>
      <c r="E121" s="197">
        <f t="shared" si="693"/>
        <v>0</v>
      </c>
      <c r="F121" s="197">
        <f t="shared" si="693"/>
        <v>0.004352901563</v>
      </c>
      <c r="G121" s="197">
        <f t="shared" si="693"/>
        <v>0</v>
      </c>
      <c r="H121" s="96"/>
      <c r="I121" s="197">
        <f t="shared" si="658"/>
        <v>0</v>
      </c>
      <c r="J121" s="67">
        <f t="shared" si="659"/>
        <v>0</v>
      </c>
      <c r="K121" s="197">
        <f t="shared" si="660"/>
        <v>-0.004352901563</v>
      </c>
      <c r="L121" s="67">
        <f t="shared" si="661"/>
        <v>-1</v>
      </c>
      <c r="M121" s="197">
        <f t="shared" si="662"/>
        <v>0</v>
      </c>
      <c r="N121" s="67">
        <f t="shared" si="663"/>
        <v>0</v>
      </c>
      <c r="O121" s="96"/>
      <c r="P121" s="197">
        <f t="shared" ref="P121:R121" si="694">IFERROR(P100/P98,0)</f>
        <v>0</v>
      </c>
      <c r="Q121" s="197">
        <f t="shared" si="694"/>
        <v>0.003801272701</v>
      </c>
      <c r="R121" s="197">
        <f t="shared" si="694"/>
        <v>0</v>
      </c>
      <c r="S121" s="96"/>
      <c r="T121" s="197">
        <f t="shared" si="665"/>
        <v>-0.003801272701</v>
      </c>
      <c r="U121" s="67">
        <f t="shared" si="666"/>
        <v>-1</v>
      </c>
      <c r="V121" s="197">
        <f t="shared" si="667"/>
        <v>0</v>
      </c>
      <c r="W121" s="67">
        <f t="shared" si="668"/>
        <v>0</v>
      </c>
      <c r="X121" s="96"/>
      <c r="Y121" s="197">
        <f t="shared" ref="Y121:AB121" si="695">IFERROR(Y100/Y98,0)</f>
        <v>0.00229261478</v>
      </c>
      <c r="Z121" s="197">
        <f t="shared" si="695"/>
        <v>0.002646792389</v>
      </c>
      <c r="AA121" s="197">
        <f t="shared" si="695"/>
        <v>0.003045947958</v>
      </c>
      <c r="AB121" s="197">
        <f t="shared" si="695"/>
        <v>0</v>
      </c>
      <c r="AC121" s="96"/>
      <c r="AD121" s="197">
        <f t="shared" si="670"/>
        <v>-0.000753333178</v>
      </c>
      <c r="AE121" s="67">
        <f t="shared" si="671"/>
        <v>-0.2473230628</v>
      </c>
      <c r="AF121" s="197">
        <f t="shared" si="672"/>
        <v>0.00229261478</v>
      </c>
      <c r="AG121" s="67">
        <f t="shared" si="673"/>
        <v>0</v>
      </c>
      <c r="AH121" s="198"/>
      <c r="AI121" s="197">
        <f t="shared" ref="AI121:AU121" si="696">IFERROR(AI100/AI98,0)</f>
        <v>0</v>
      </c>
      <c r="AJ121" s="197">
        <f t="shared" si="696"/>
        <v>0</v>
      </c>
      <c r="AK121" s="197">
        <f t="shared" si="696"/>
        <v>0</v>
      </c>
      <c r="AL121" s="197">
        <f t="shared" si="696"/>
        <v>0</v>
      </c>
      <c r="AM121" s="197">
        <f t="shared" si="696"/>
        <v>0</v>
      </c>
      <c r="AN121" s="197">
        <f t="shared" si="696"/>
        <v>0</v>
      </c>
      <c r="AO121" s="197">
        <f t="shared" si="696"/>
        <v>0</v>
      </c>
      <c r="AP121" s="197">
        <f t="shared" si="696"/>
        <v>0</v>
      </c>
      <c r="AQ121" s="197">
        <f t="shared" si="696"/>
        <v>0</v>
      </c>
      <c r="AR121" s="197">
        <f t="shared" si="696"/>
        <v>0.002269329529</v>
      </c>
      <c r="AS121" s="197">
        <f t="shared" si="696"/>
        <v>0.002631753163</v>
      </c>
      <c r="AT121" s="197">
        <f t="shared" si="696"/>
        <v>0.002037100864</v>
      </c>
      <c r="AU121" s="199">
        <f t="shared" si="696"/>
        <v>0.00229261478</v>
      </c>
      <c r="AV121" s="200"/>
      <c r="AW121" s="197">
        <f t="shared" ref="AW121:BI121" si="697">IFERROR(AW100/AW98,0)</f>
        <v>0</v>
      </c>
      <c r="AX121" s="197">
        <f t="shared" si="697"/>
        <v>0</v>
      </c>
      <c r="AY121" s="197">
        <f t="shared" si="697"/>
        <v>0</v>
      </c>
      <c r="AZ121" s="197">
        <f t="shared" si="697"/>
        <v>0</v>
      </c>
      <c r="BA121" s="197">
        <f t="shared" si="697"/>
        <v>0</v>
      </c>
      <c r="BB121" s="197">
        <f t="shared" si="697"/>
        <v>0</v>
      </c>
      <c r="BC121" s="197">
        <f t="shared" si="697"/>
        <v>0.003859288443</v>
      </c>
      <c r="BD121" s="197">
        <f t="shared" si="697"/>
        <v>0.002321192246</v>
      </c>
      <c r="BE121" s="197">
        <f t="shared" si="697"/>
        <v>0.002318722505</v>
      </c>
      <c r="BF121" s="197">
        <f t="shared" si="697"/>
        <v>0.002269329529</v>
      </c>
      <c r="BG121" s="197">
        <f t="shared" si="697"/>
        <v>0.002631753163</v>
      </c>
      <c r="BH121" s="197">
        <f t="shared" si="697"/>
        <v>0.002037100864</v>
      </c>
      <c r="BI121" s="199">
        <f t="shared" si="697"/>
        <v>0.002646792389</v>
      </c>
      <c r="BJ121" s="198"/>
      <c r="BK121" s="201">
        <v>0.0021</v>
      </c>
      <c r="BL121" s="201">
        <v>0.0021</v>
      </c>
      <c r="BM121" s="201">
        <v>0.0025</v>
      </c>
      <c r="BN121" s="201">
        <v>0.0068</v>
      </c>
      <c r="BO121" s="201">
        <v>0.0074</v>
      </c>
      <c r="BP121" s="201">
        <v>0.0044</v>
      </c>
      <c r="BQ121" s="201">
        <v>0.0039</v>
      </c>
      <c r="BR121" s="201">
        <v>0.0023</v>
      </c>
      <c r="BS121" s="201">
        <v>0.0023</v>
      </c>
      <c r="BT121" s="201">
        <v>0.0023</v>
      </c>
      <c r="BU121" s="201">
        <v>0.0026</v>
      </c>
      <c r="BV121" s="201">
        <v>0.002</v>
      </c>
      <c r="BW121" s="202">
        <v>0.003</v>
      </c>
      <c r="BX121" s="195"/>
      <c r="BY121" s="148"/>
      <c r="BZ121" s="148"/>
      <c r="CA121" s="148"/>
      <c r="CB121" s="148"/>
      <c r="CC121" s="148"/>
      <c r="CD121" s="148"/>
      <c r="CE121" s="148"/>
      <c r="CF121" s="148"/>
      <c r="CG121" s="148"/>
      <c r="CH121" s="148"/>
      <c r="CI121" s="148"/>
      <c r="CJ121" s="148"/>
      <c r="CK121" s="203"/>
      <c r="CL121" s="197"/>
      <c r="CM121" s="197"/>
      <c r="CN121" s="197"/>
      <c r="CO121" s="197"/>
      <c r="CP121" s="197"/>
      <c r="CQ121" s="197"/>
      <c r="CR121" s="197"/>
      <c r="CS121" s="197"/>
      <c r="CT121" s="197"/>
      <c r="CU121" s="197"/>
      <c r="CV121" s="197"/>
      <c r="CW121" s="197"/>
      <c r="CX121" s="197"/>
      <c r="CY121" s="199"/>
      <c r="CZ121" s="148"/>
      <c r="DA121" s="197">
        <f>IFERROR(DA100/DA98,0)</f>
        <v>0.002073478628</v>
      </c>
      <c r="DB121" s="197"/>
      <c r="DC121" s="197"/>
      <c r="DD121" s="197"/>
      <c r="DE121" s="197"/>
      <c r="DF121" s="197"/>
      <c r="DG121" s="197"/>
      <c r="DH121" s="197"/>
      <c r="DI121" s="197"/>
      <c r="DJ121" s="197"/>
      <c r="DK121" s="197"/>
      <c r="DL121" s="197"/>
      <c r="DM121" s="199">
        <f>IFERROR(DM100/DM98,0)</f>
        <v>0.002073478628</v>
      </c>
      <c r="DN121" s="195"/>
      <c r="DO121" s="204"/>
      <c r="DP121" s="204"/>
      <c r="DQ121" s="205"/>
    </row>
    <row r="122" outlineLevel="2">
      <c r="A122" s="194"/>
      <c r="B122" s="195" t="s">
        <v>127</v>
      </c>
      <c r="C122" s="196"/>
      <c r="D122" s="197">
        <f t="shared" ref="D122:G122" si="698">IFERROR(D101/D98,0)</f>
        <v>0</v>
      </c>
      <c r="E122" s="197">
        <f t="shared" si="698"/>
        <v>0</v>
      </c>
      <c r="F122" s="197">
        <f t="shared" si="698"/>
        <v>0.003252945021</v>
      </c>
      <c r="G122" s="197">
        <f t="shared" si="698"/>
        <v>0</v>
      </c>
      <c r="H122" s="96"/>
      <c r="I122" s="197">
        <f t="shared" si="658"/>
        <v>0</v>
      </c>
      <c r="J122" s="67">
        <f t="shared" si="659"/>
        <v>0</v>
      </c>
      <c r="K122" s="197">
        <f t="shared" si="660"/>
        <v>-0.003252945021</v>
      </c>
      <c r="L122" s="67">
        <f t="shared" si="661"/>
        <v>-1</v>
      </c>
      <c r="M122" s="197">
        <f t="shared" si="662"/>
        <v>0</v>
      </c>
      <c r="N122" s="67">
        <f t="shared" si="663"/>
        <v>0</v>
      </c>
      <c r="O122" s="96"/>
      <c r="P122" s="197">
        <f t="shared" ref="P122:R122" si="699">IFERROR(P101/P98,0)</f>
        <v>0</v>
      </c>
      <c r="Q122" s="197">
        <f t="shared" si="699"/>
        <v>0.0042730925</v>
      </c>
      <c r="R122" s="197">
        <f t="shared" si="699"/>
        <v>0</v>
      </c>
      <c r="S122" s="96"/>
      <c r="T122" s="197">
        <f t="shared" si="665"/>
        <v>-0.0042730925</v>
      </c>
      <c r="U122" s="67">
        <f t="shared" si="666"/>
        <v>-1</v>
      </c>
      <c r="V122" s="197">
        <f t="shared" si="667"/>
        <v>0</v>
      </c>
      <c r="W122" s="67">
        <f t="shared" si="668"/>
        <v>0</v>
      </c>
      <c r="X122" s="96"/>
      <c r="Y122" s="197">
        <f t="shared" ref="Y122:AB122" si="700">IFERROR(Y101/Y98,0)</f>
        <v>0.004897110352</v>
      </c>
      <c r="Z122" s="197">
        <f t="shared" si="700"/>
        <v>0.003403459052</v>
      </c>
      <c r="AA122" s="197">
        <f t="shared" si="700"/>
        <v>0.003704130298</v>
      </c>
      <c r="AB122" s="197">
        <f t="shared" si="700"/>
        <v>0</v>
      </c>
      <c r="AC122" s="96"/>
      <c r="AD122" s="197">
        <f t="shared" si="670"/>
        <v>0.001192980054</v>
      </c>
      <c r="AE122" s="67">
        <f t="shared" si="671"/>
        <v>0.3220675187</v>
      </c>
      <c r="AF122" s="197">
        <f t="shared" si="672"/>
        <v>0.004897110352</v>
      </c>
      <c r="AG122" s="67">
        <f t="shared" si="673"/>
        <v>0</v>
      </c>
      <c r="AH122" s="198"/>
      <c r="AI122" s="197">
        <f t="shared" ref="AI122:AU122" si="701">IFERROR(AI101/AI98,0)</f>
        <v>0</v>
      </c>
      <c r="AJ122" s="197">
        <f t="shared" si="701"/>
        <v>0</v>
      </c>
      <c r="AK122" s="197">
        <f t="shared" si="701"/>
        <v>0</v>
      </c>
      <c r="AL122" s="197">
        <f t="shared" si="701"/>
        <v>0</v>
      </c>
      <c r="AM122" s="197">
        <f t="shared" si="701"/>
        <v>0</v>
      </c>
      <c r="AN122" s="197">
        <f t="shared" si="701"/>
        <v>0</v>
      </c>
      <c r="AO122" s="197">
        <f t="shared" si="701"/>
        <v>0</v>
      </c>
      <c r="AP122" s="197">
        <f t="shared" si="701"/>
        <v>0</v>
      </c>
      <c r="AQ122" s="197">
        <f t="shared" si="701"/>
        <v>0</v>
      </c>
      <c r="AR122" s="197">
        <f t="shared" si="701"/>
        <v>0.003912054208</v>
      </c>
      <c r="AS122" s="197">
        <f t="shared" si="701"/>
        <v>0.0058466451</v>
      </c>
      <c r="AT122" s="197">
        <f t="shared" si="701"/>
        <v>0.006004259278</v>
      </c>
      <c r="AU122" s="199">
        <f t="shared" si="701"/>
        <v>0.004897110352</v>
      </c>
      <c r="AV122" s="127"/>
      <c r="AW122" s="197">
        <f t="shared" ref="AW122:BI122" si="702">IFERROR(AW101/AW98,0)</f>
        <v>0</v>
      </c>
      <c r="AX122" s="197">
        <f t="shared" si="702"/>
        <v>0</v>
      </c>
      <c r="AY122" s="197">
        <f t="shared" si="702"/>
        <v>0</v>
      </c>
      <c r="AZ122" s="197">
        <f t="shared" si="702"/>
        <v>0</v>
      </c>
      <c r="BA122" s="197">
        <f t="shared" si="702"/>
        <v>0</v>
      </c>
      <c r="BB122" s="197">
        <f t="shared" si="702"/>
        <v>0</v>
      </c>
      <c r="BC122" s="197">
        <f t="shared" si="702"/>
        <v>0.001956950011</v>
      </c>
      <c r="BD122" s="197">
        <f t="shared" si="702"/>
        <v>0.001990599079</v>
      </c>
      <c r="BE122" s="197">
        <f t="shared" si="702"/>
        <v>0.003717808918</v>
      </c>
      <c r="BF122" s="197">
        <f t="shared" si="702"/>
        <v>0.003912054208</v>
      </c>
      <c r="BG122" s="197">
        <f t="shared" si="702"/>
        <v>0.0058466451</v>
      </c>
      <c r="BH122" s="197">
        <f t="shared" si="702"/>
        <v>0.006004259278</v>
      </c>
      <c r="BI122" s="199">
        <f t="shared" si="702"/>
        <v>0.003403459052</v>
      </c>
      <c r="BJ122" s="198"/>
      <c r="BK122" s="201">
        <v>0.0039</v>
      </c>
      <c r="BL122" s="201">
        <v>0.0033</v>
      </c>
      <c r="BM122" s="201">
        <v>0.0048</v>
      </c>
      <c r="BN122" s="201">
        <v>0.0084</v>
      </c>
      <c r="BO122" s="201">
        <v>0.0045</v>
      </c>
      <c r="BP122" s="201">
        <v>0.0033</v>
      </c>
      <c r="BQ122" s="201">
        <v>0.002</v>
      </c>
      <c r="BR122" s="201">
        <v>0.002</v>
      </c>
      <c r="BS122" s="201">
        <v>0.0037</v>
      </c>
      <c r="BT122" s="201">
        <v>0.0039</v>
      </c>
      <c r="BU122" s="201">
        <v>0.0058</v>
      </c>
      <c r="BV122" s="201">
        <v>0.006</v>
      </c>
      <c r="BW122" s="202">
        <v>0.0037</v>
      </c>
      <c r="BX122" s="195"/>
      <c r="BY122" s="148"/>
      <c r="BZ122" s="148"/>
      <c r="CA122" s="148"/>
      <c r="CB122" s="148"/>
      <c r="CC122" s="148"/>
      <c r="CD122" s="148"/>
      <c r="CE122" s="148"/>
      <c r="CF122" s="148"/>
      <c r="CG122" s="148"/>
      <c r="CH122" s="148"/>
      <c r="CI122" s="148"/>
      <c r="CJ122" s="148"/>
      <c r="CK122" s="203"/>
      <c r="CL122" s="197"/>
      <c r="CM122" s="197"/>
      <c r="CN122" s="197"/>
      <c r="CO122" s="197"/>
      <c r="CP122" s="197"/>
      <c r="CQ122" s="197"/>
      <c r="CR122" s="197"/>
      <c r="CS122" s="197"/>
      <c r="CT122" s="197"/>
      <c r="CU122" s="197"/>
      <c r="CV122" s="197"/>
      <c r="CW122" s="197"/>
      <c r="CX122" s="197"/>
      <c r="CY122" s="199"/>
      <c r="CZ122" s="148"/>
      <c r="DA122" s="197">
        <f>IFERROR(DA101/DA98,0)</f>
        <v>0.003870376753</v>
      </c>
      <c r="DB122" s="197"/>
      <c r="DC122" s="197"/>
      <c r="DD122" s="197"/>
      <c r="DE122" s="197"/>
      <c r="DF122" s="197"/>
      <c r="DG122" s="197"/>
      <c r="DH122" s="197"/>
      <c r="DI122" s="197"/>
      <c r="DJ122" s="197"/>
      <c r="DK122" s="197"/>
      <c r="DL122" s="197"/>
      <c r="DM122" s="199">
        <f>IFERROR(DM101/DM98,0)</f>
        <v>0.003870376753</v>
      </c>
      <c r="DN122" s="195"/>
      <c r="DO122" s="204"/>
      <c r="DP122" s="204"/>
      <c r="DQ122" s="205"/>
    </row>
    <row r="123" outlineLevel="2">
      <c r="A123" s="194"/>
      <c r="B123" s="195" t="s">
        <v>128</v>
      </c>
      <c r="C123" s="196"/>
      <c r="D123" s="197">
        <f t="shared" ref="D123:G123" si="703">IFERROR((D100+D101)/D113,0)</f>
        <v>0</v>
      </c>
      <c r="E123" s="197">
        <f t="shared" si="703"/>
        <v>0</v>
      </c>
      <c r="F123" s="197">
        <f t="shared" si="703"/>
        <v>0.006977495479</v>
      </c>
      <c r="G123" s="197">
        <f t="shared" si="703"/>
        <v>0</v>
      </c>
      <c r="H123" s="96"/>
      <c r="I123" s="197">
        <f t="shared" si="658"/>
        <v>0</v>
      </c>
      <c r="J123" s="67">
        <f t="shared" si="659"/>
        <v>0</v>
      </c>
      <c r="K123" s="197">
        <f t="shared" si="660"/>
        <v>-0.006977495479</v>
      </c>
      <c r="L123" s="67">
        <f t="shared" si="661"/>
        <v>-1</v>
      </c>
      <c r="M123" s="197">
        <f t="shared" si="662"/>
        <v>0</v>
      </c>
      <c r="N123" s="67">
        <f t="shared" si="663"/>
        <v>0</v>
      </c>
      <c r="O123" s="96"/>
      <c r="P123" s="197">
        <f t="shared" ref="P123:R123" si="704">IFERROR((P100+P101)/P113,0)</f>
        <v>0</v>
      </c>
      <c r="Q123" s="197">
        <f t="shared" si="704"/>
        <v>0.007356515466</v>
      </c>
      <c r="R123" s="197">
        <f t="shared" si="704"/>
        <v>0</v>
      </c>
      <c r="S123" s="96"/>
      <c r="T123" s="197">
        <f t="shared" si="665"/>
        <v>-0.007356515466</v>
      </c>
      <c r="U123" s="67">
        <f t="shared" si="666"/>
        <v>-1</v>
      </c>
      <c r="V123" s="197">
        <f t="shared" si="667"/>
        <v>0</v>
      </c>
      <c r="W123" s="67">
        <f t="shared" si="668"/>
        <v>0</v>
      </c>
      <c r="X123" s="96"/>
      <c r="Y123" s="197">
        <f t="shared" ref="Y123:AB123" si="705">IFERROR((Y100+Y101)/Y113,0)</f>
        <v>0.006755671004</v>
      </c>
      <c r="Z123" s="197">
        <f t="shared" si="705"/>
        <v>0.00559832681</v>
      </c>
      <c r="AA123" s="197">
        <f t="shared" si="705"/>
        <v>0.006212380919</v>
      </c>
      <c r="AB123" s="197">
        <f t="shared" si="705"/>
        <v>0</v>
      </c>
      <c r="AC123" s="96"/>
      <c r="AD123" s="197">
        <f t="shared" si="670"/>
        <v>0.0005432900853</v>
      </c>
      <c r="AE123" s="67">
        <f t="shared" si="671"/>
        <v>0.08745279667</v>
      </c>
      <c r="AF123" s="197">
        <f t="shared" si="672"/>
        <v>0.006755671004</v>
      </c>
      <c r="AG123" s="67">
        <f t="shared" si="673"/>
        <v>0</v>
      </c>
      <c r="AH123" s="198"/>
      <c r="AI123" s="197">
        <f t="shared" ref="AI123:AU123" si="706">IFERROR((AI100+AI101)/AI113,0)</f>
        <v>0</v>
      </c>
      <c r="AJ123" s="197">
        <f t="shared" si="706"/>
        <v>0</v>
      </c>
      <c r="AK123" s="197">
        <f t="shared" si="706"/>
        <v>0</v>
      </c>
      <c r="AL123" s="197">
        <f t="shared" si="706"/>
        <v>0</v>
      </c>
      <c r="AM123" s="197">
        <f t="shared" si="706"/>
        <v>0</v>
      </c>
      <c r="AN123" s="197">
        <f t="shared" si="706"/>
        <v>0</v>
      </c>
      <c r="AO123" s="197">
        <f t="shared" si="706"/>
        <v>0</v>
      </c>
      <c r="AP123" s="197">
        <f t="shared" si="706"/>
        <v>0</v>
      </c>
      <c r="AQ123" s="197">
        <f t="shared" si="706"/>
        <v>0</v>
      </c>
      <c r="AR123" s="197">
        <f t="shared" si="706"/>
        <v>0.005858872769</v>
      </c>
      <c r="AS123" s="197">
        <f t="shared" si="706"/>
        <v>0.007912032809</v>
      </c>
      <c r="AT123" s="197">
        <f t="shared" si="706"/>
        <v>0.007473632628</v>
      </c>
      <c r="AU123" s="199">
        <f t="shared" si="706"/>
        <v>0.006755671004</v>
      </c>
      <c r="AV123" s="200"/>
      <c r="AW123" s="197">
        <f t="shared" ref="AW123:BI123" si="707">IFERROR((AW100+AW101)/AW113,0)</f>
        <v>0</v>
      </c>
      <c r="AX123" s="197">
        <f t="shared" si="707"/>
        <v>0</v>
      </c>
      <c r="AY123" s="197">
        <f t="shared" si="707"/>
        <v>0</v>
      </c>
      <c r="AZ123" s="197">
        <f t="shared" si="707"/>
        <v>0</v>
      </c>
      <c r="BA123" s="197">
        <f t="shared" si="707"/>
        <v>0</v>
      </c>
      <c r="BB123" s="197">
        <f t="shared" si="707"/>
        <v>0</v>
      </c>
      <c r="BC123" s="197">
        <f t="shared" si="707"/>
        <v>0.005291927012</v>
      </c>
      <c r="BD123" s="197">
        <f t="shared" si="707"/>
        <v>0.003954828294</v>
      </c>
      <c r="BE123" s="197">
        <f t="shared" si="707"/>
        <v>0.005582362251</v>
      </c>
      <c r="BF123" s="197">
        <f t="shared" si="707"/>
        <v>0.005858872769</v>
      </c>
      <c r="BG123" s="197">
        <f t="shared" si="707"/>
        <v>0.007912032809</v>
      </c>
      <c r="BH123" s="197">
        <f t="shared" si="707"/>
        <v>0.007473632628</v>
      </c>
      <c r="BI123" s="199">
        <f t="shared" si="707"/>
        <v>0.00559832681</v>
      </c>
      <c r="BJ123" s="198"/>
      <c r="BK123" s="201">
        <v>0.0054</v>
      </c>
      <c r="BL123" s="201">
        <v>0.005</v>
      </c>
      <c r="BM123" s="201">
        <v>0.0065</v>
      </c>
      <c r="BN123" s="201">
        <v>0.0136</v>
      </c>
      <c r="BO123" s="201">
        <v>0.0111</v>
      </c>
      <c r="BP123" s="201">
        <v>0.007</v>
      </c>
      <c r="BQ123" s="201">
        <v>0.0053</v>
      </c>
      <c r="BR123" s="201">
        <v>0.004</v>
      </c>
      <c r="BS123" s="201">
        <v>0.0056</v>
      </c>
      <c r="BT123" s="201">
        <v>0.0059</v>
      </c>
      <c r="BU123" s="201">
        <v>0.0079</v>
      </c>
      <c r="BV123" s="201">
        <v>0.0075</v>
      </c>
      <c r="BW123" s="202">
        <v>0.0051</v>
      </c>
      <c r="BX123" s="195"/>
      <c r="BY123" s="148"/>
      <c r="BZ123" s="148"/>
      <c r="CA123" s="148"/>
      <c r="CB123" s="148"/>
      <c r="CC123" s="148"/>
      <c r="CD123" s="148"/>
      <c r="CE123" s="148"/>
      <c r="CF123" s="148"/>
      <c r="CG123" s="148"/>
      <c r="CH123" s="148"/>
      <c r="CI123" s="148"/>
      <c r="CJ123" s="148"/>
      <c r="CK123" s="203"/>
      <c r="CL123" s="197"/>
      <c r="CM123" s="197"/>
      <c r="CN123" s="197"/>
      <c r="CO123" s="197"/>
      <c r="CP123" s="197"/>
      <c r="CQ123" s="197"/>
      <c r="CR123" s="197"/>
      <c r="CS123" s="197"/>
      <c r="CT123" s="197"/>
      <c r="CU123" s="197"/>
      <c r="CV123" s="197"/>
      <c r="CW123" s="197"/>
      <c r="CX123" s="197"/>
      <c r="CY123" s="199"/>
      <c r="CZ123" s="148"/>
      <c r="DA123" s="197">
        <f>IFERROR((DA100+DA101)/DA113,0)</f>
        <v>0.005355409385</v>
      </c>
      <c r="DB123" s="197"/>
      <c r="DC123" s="197"/>
      <c r="DD123" s="197"/>
      <c r="DE123" s="197"/>
      <c r="DF123" s="197"/>
      <c r="DG123" s="197"/>
      <c r="DH123" s="197"/>
      <c r="DI123" s="197"/>
      <c r="DJ123" s="197"/>
      <c r="DK123" s="197"/>
      <c r="DL123" s="197"/>
      <c r="DM123" s="199">
        <f>IFERROR((DM100+DM101)/DM113,0)</f>
        <v>0.005355409385</v>
      </c>
      <c r="DN123" s="195"/>
      <c r="DO123" s="204"/>
      <c r="DP123" s="204"/>
      <c r="DQ123" s="205"/>
    </row>
    <row r="124">
      <c r="A124" s="15"/>
      <c r="B124" s="124"/>
      <c r="C124" s="124"/>
      <c r="D124" s="125"/>
      <c r="E124" s="125"/>
      <c r="F124" s="125"/>
      <c r="G124" s="125"/>
      <c r="H124" s="125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34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27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34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/>
      <c r="CT124" s="11"/>
      <c r="CU124" s="11"/>
      <c r="CV124" s="11"/>
      <c r="CW124" s="11"/>
      <c r="CX124" s="11"/>
      <c r="CY124" s="11"/>
      <c r="CZ124" s="11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"/>
      <c r="DO124" s="206"/>
      <c r="DP124" s="206"/>
      <c r="DQ124" s="131"/>
    </row>
    <row r="125">
      <c r="A125" s="151">
        <v>3.0</v>
      </c>
      <c r="B125" s="152" t="s">
        <v>129</v>
      </c>
      <c r="C125" s="124"/>
      <c r="D125" s="125"/>
      <c r="E125" s="125"/>
      <c r="F125" s="125"/>
      <c r="G125" s="125"/>
      <c r="H125" s="125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34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27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34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  <c r="BU125" s="11"/>
      <c r="BV125" s="11"/>
      <c r="BW125" s="11"/>
      <c r="BX125" s="1"/>
      <c r="BY125" s="11"/>
      <c r="BZ125" s="11"/>
      <c r="CA125" s="11"/>
      <c r="CB125" s="11"/>
      <c r="CC125" s="11"/>
      <c r="CD125" s="11"/>
      <c r="CE125" s="11"/>
      <c r="CF125" s="11"/>
      <c r="CG125" s="11"/>
      <c r="CH125" s="11"/>
      <c r="CI125" s="11"/>
      <c r="CJ125" s="11"/>
      <c r="CK125" s="11"/>
      <c r="CL125" s="11"/>
      <c r="CM125" s="11"/>
      <c r="CN125" s="11"/>
      <c r="CO125" s="11"/>
      <c r="CP125" s="11"/>
      <c r="CQ125" s="11"/>
      <c r="CR125" s="11"/>
      <c r="CS125" s="11"/>
      <c r="CT125" s="11"/>
      <c r="CU125" s="11"/>
      <c r="CV125" s="11"/>
      <c r="CW125" s="11"/>
      <c r="CX125" s="11"/>
      <c r="CY125" s="11"/>
      <c r="CZ125" s="11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"/>
      <c r="DO125" s="206"/>
      <c r="DP125" s="206"/>
      <c r="DQ125" s="131"/>
    </row>
    <row r="126" outlineLevel="2">
      <c r="A126" s="15"/>
      <c r="B126" s="1" t="s">
        <v>130</v>
      </c>
      <c r="C126" s="15"/>
      <c r="D126" s="47">
        <f t="shared" ref="D126:D134" si="710">SUMIFS($CM126:$CX126,$CM$35:$CX$35,$D$2)</f>
        <v>0</v>
      </c>
      <c r="E126" s="47">
        <f t="shared" ref="E126:E134" si="711">SUMIFS($DA126:$DM126,$DA$35:$DM$35,$D$2)</f>
        <v>0</v>
      </c>
      <c r="F126" s="47">
        <f t="shared" ref="F126:F134" si="712">SUMIFS($BK126:$BV126,$BK$35:$BV$35,$D$2)</f>
        <v>13471.425</v>
      </c>
      <c r="G126" s="47">
        <f t="shared" ref="G126:G134" si="713">SUMIFS($BY126:$CJ126,$BY$35:$CJ$35,$D$2)</f>
        <v>0</v>
      </c>
      <c r="H126" s="48"/>
      <c r="I126" s="66">
        <f t="shared" ref="I126:I135" si="714">E126-D126</f>
        <v>0</v>
      </c>
      <c r="J126" s="67">
        <f t="shared" ref="J126:J135" si="715">IFERROR(I126/ABS(E126),0)</f>
        <v>0</v>
      </c>
      <c r="K126" s="66">
        <f t="shared" ref="K126:K135" si="716">F126-D126</f>
        <v>13471.425</v>
      </c>
      <c r="L126" s="67">
        <f t="shared" ref="L126:L135" si="717">IFERROR(K126/ABS(F126),0)</f>
        <v>1</v>
      </c>
      <c r="M126" s="66">
        <f t="shared" ref="M126:M135" si="718">G126-D126</f>
        <v>0</v>
      </c>
      <c r="N126" s="67">
        <f t="shared" ref="N126:N135" si="719">IFERROR(M126/ABS(G126),0)</f>
        <v>0</v>
      </c>
      <c r="O126" s="48"/>
      <c r="P126" s="47">
        <f t="shared" ref="P126:P134" si="720">SUMIFS($CM126:$CX126,$CM$35:$CX$35,$P$2)</f>
        <v>0</v>
      </c>
      <c r="Q126" s="47">
        <f t="shared" ref="Q126:Q134" si="721">SUMIFS($BK126:$BV126,$BK$35:$BV$35,$P$2)</f>
        <v>76878.098</v>
      </c>
      <c r="R126" s="47">
        <f t="shared" ref="R126:R134" si="722">SUMIFS($BY126:$CJ126,$BY$35:$CJ$35,$P$2)</f>
        <v>0</v>
      </c>
      <c r="S126" s="48"/>
      <c r="T126" s="66">
        <f t="shared" ref="T126:T135" si="723">Q126-P126</f>
        <v>76878.098</v>
      </c>
      <c r="U126" s="67">
        <f t="shared" ref="U126:U135" si="724">IFERROR(T126/ABS(Q126),0)</f>
        <v>1</v>
      </c>
      <c r="V126" s="66">
        <f t="shared" ref="V126:V135" si="725">R126-P126</f>
        <v>0</v>
      </c>
      <c r="W126" s="67">
        <f t="shared" ref="W126:W135" si="726">IFERROR(V126/ABS(R126),0)</f>
        <v>0</v>
      </c>
      <c r="X126" s="48"/>
      <c r="Y126" s="47">
        <f t="shared" ref="Y126:Y134" si="727">$AU126</f>
        <v>36318.5642</v>
      </c>
      <c r="Z126" s="47">
        <f t="shared" ref="Z126:Z134" si="728">$BI126</f>
        <v>86504.0332</v>
      </c>
      <c r="AA126" s="47">
        <f t="shared" ref="AA126:AA134" si="729">$BW126</f>
        <v>163382.1312</v>
      </c>
      <c r="AB126" s="95" t="str">
        <f t="shared" ref="AB126:AB134" si="730">$CK126</f>
        <v/>
      </c>
      <c r="AC126" s="17"/>
      <c r="AD126" s="66">
        <f t="shared" ref="AD126:AD135" si="731">AA126-Y126</f>
        <v>127063.567</v>
      </c>
      <c r="AE126" s="67">
        <f t="shared" ref="AE126:AE135" si="732">IFERROR(AD126/ABS(AA126),0)</f>
        <v>0.7777078562</v>
      </c>
      <c r="AF126" s="66">
        <f t="shared" ref="AF126:AF135" si="733">AB126-Y126</f>
        <v>-36318.5642</v>
      </c>
      <c r="AG126" s="67">
        <f t="shared" ref="AG126:AG135" si="734">IFERROR(AF126/ABS(AB126),0)</f>
        <v>0</v>
      </c>
      <c r="AH126" s="117"/>
      <c r="AI126" s="47" t="str">
        <f t="shared" ref="AI126:AI134" si="735">IFERROR(IF(AI$3="A",CM126,IF(AI$3="F",DA126)),0)</f>
        <v/>
      </c>
      <c r="AJ126" s="47" t="str">
        <f t="shared" ref="AJ126:AT126" si="708">IFERROR(IF(AJ$3="A",CN126,IF(AJ$3="F",DB126,IF(AJ$3="B",BL126,0))),"")</f>
        <v/>
      </c>
      <c r="AK126" s="47" t="str">
        <f t="shared" si="708"/>
        <v/>
      </c>
      <c r="AL126" s="47" t="str">
        <f t="shared" si="708"/>
        <v/>
      </c>
      <c r="AM126" s="47" t="str">
        <f t="shared" si="708"/>
        <v/>
      </c>
      <c r="AN126" s="47" t="str">
        <f t="shared" si="708"/>
        <v/>
      </c>
      <c r="AO126" s="47" t="str">
        <f t="shared" si="708"/>
        <v/>
      </c>
      <c r="AP126" s="47" t="str">
        <f t="shared" si="708"/>
        <v/>
      </c>
      <c r="AQ126" s="47" t="str">
        <f t="shared" si="708"/>
        <v/>
      </c>
      <c r="AR126" s="47">
        <f t="shared" si="708"/>
        <v>15837.669</v>
      </c>
      <c r="AS126" s="47">
        <f t="shared" si="708"/>
        <v>9457.4162</v>
      </c>
      <c r="AT126" s="47">
        <f t="shared" si="708"/>
        <v>11023.479</v>
      </c>
      <c r="AU126" s="65">
        <f t="shared" ref="AU126:AU134" si="737">SUM(AI126:AT126)</f>
        <v>36318.5642</v>
      </c>
      <c r="AV126" s="11"/>
      <c r="AW126" s="47" t="str">
        <f t="shared" ref="AW126:BH126" si="709">IFERROR(IF(AW$3="A",CM126,IF(AW$3="B",BK126)),0)</f>
        <v/>
      </c>
      <c r="AX126" s="47" t="str">
        <f t="shared" si="709"/>
        <v/>
      </c>
      <c r="AY126" s="47" t="str">
        <f t="shared" si="709"/>
        <v/>
      </c>
      <c r="AZ126" s="47" t="str">
        <f t="shared" si="709"/>
        <v/>
      </c>
      <c r="BA126" s="47" t="str">
        <f t="shared" si="709"/>
        <v/>
      </c>
      <c r="BB126" s="47" t="str">
        <f t="shared" si="709"/>
        <v/>
      </c>
      <c r="BC126" s="47">
        <f t="shared" si="709"/>
        <v>17908.414</v>
      </c>
      <c r="BD126" s="47">
        <f t="shared" si="709"/>
        <v>16400.866</v>
      </c>
      <c r="BE126" s="47">
        <f t="shared" si="709"/>
        <v>15876.189</v>
      </c>
      <c r="BF126" s="47">
        <f t="shared" si="709"/>
        <v>15837.669</v>
      </c>
      <c r="BG126" s="47">
        <f t="shared" si="709"/>
        <v>9457.4162</v>
      </c>
      <c r="BH126" s="47">
        <f t="shared" si="709"/>
        <v>11023.479</v>
      </c>
      <c r="BI126" s="65">
        <f t="shared" ref="BI126:BI134" si="739">SUM(AW126:BH126)</f>
        <v>86504.0332</v>
      </c>
      <c r="BJ126" s="117"/>
      <c r="BK126" s="128">
        <v>13664.057</v>
      </c>
      <c r="BL126" s="128">
        <v>15655.133</v>
      </c>
      <c r="BM126" s="128">
        <v>9517.832</v>
      </c>
      <c r="BN126" s="128">
        <v>11522.051</v>
      </c>
      <c r="BO126" s="128">
        <v>13047.6</v>
      </c>
      <c r="BP126" s="128">
        <v>13471.425</v>
      </c>
      <c r="BQ126" s="128">
        <v>17908.414</v>
      </c>
      <c r="BR126" s="128">
        <v>16400.866</v>
      </c>
      <c r="BS126" s="128">
        <v>15876.189</v>
      </c>
      <c r="BT126" s="128">
        <v>15837.669</v>
      </c>
      <c r="BU126" s="128">
        <v>9457.4162</v>
      </c>
      <c r="BV126" s="128">
        <v>11023.479</v>
      </c>
      <c r="BW126" s="129">
        <v>163382.1312</v>
      </c>
      <c r="BX126" s="1"/>
      <c r="BY126" s="47"/>
      <c r="BZ126" s="47"/>
      <c r="CA126" s="47"/>
      <c r="CB126" s="47"/>
      <c r="CC126" s="47"/>
      <c r="CD126" s="47"/>
      <c r="CE126" s="47"/>
      <c r="CF126" s="47"/>
      <c r="CG126" s="47"/>
      <c r="CH126" s="47"/>
      <c r="CI126" s="47"/>
      <c r="CJ126" s="47"/>
      <c r="CK126" s="65"/>
      <c r="CL126" s="47"/>
      <c r="CM126" s="47"/>
      <c r="CN126" s="47"/>
      <c r="CO126" s="47"/>
      <c r="CP126" s="47"/>
      <c r="CQ126" s="47"/>
      <c r="CR126" s="47"/>
      <c r="CS126" s="47"/>
      <c r="CT126" s="47"/>
      <c r="CU126" s="47"/>
      <c r="CV126" s="47"/>
      <c r="CW126" s="47"/>
      <c r="CX126" s="47"/>
      <c r="CY126" s="65"/>
      <c r="CZ126" s="11"/>
      <c r="DA126" s="47">
        <f t="shared" ref="DA126:DA134" si="740">BK126</f>
        <v>13664.057</v>
      </c>
      <c r="DB126" s="47"/>
      <c r="DC126" s="47"/>
      <c r="DD126" s="47"/>
      <c r="DE126" s="47"/>
      <c r="DF126" s="47"/>
      <c r="DG126" s="47"/>
      <c r="DH126" s="47"/>
      <c r="DI126" s="47"/>
      <c r="DJ126" s="47"/>
      <c r="DK126" s="47"/>
      <c r="DL126" s="47"/>
      <c r="DM126" s="65">
        <f t="shared" ref="DM126:DM134" si="741">SUM(DA126:DL126)</f>
        <v>13664.057</v>
      </c>
      <c r="DN126" s="1"/>
      <c r="DO126" s="130"/>
      <c r="DP126" s="130"/>
      <c r="DQ126" s="131"/>
    </row>
    <row r="127" outlineLevel="2">
      <c r="A127" s="15"/>
      <c r="B127" s="1" t="s">
        <v>131</v>
      </c>
      <c r="C127" s="15"/>
      <c r="D127" s="47">
        <f t="shared" si="710"/>
        <v>0</v>
      </c>
      <c r="E127" s="47">
        <f t="shared" si="711"/>
        <v>0</v>
      </c>
      <c r="F127" s="47">
        <f t="shared" si="712"/>
        <v>5516.767</v>
      </c>
      <c r="G127" s="47">
        <f t="shared" si="713"/>
        <v>0</v>
      </c>
      <c r="H127" s="48"/>
      <c r="I127" s="66">
        <f t="shared" si="714"/>
        <v>0</v>
      </c>
      <c r="J127" s="67">
        <f t="shared" si="715"/>
        <v>0</v>
      </c>
      <c r="K127" s="66">
        <f t="shared" si="716"/>
        <v>5516.767</v>
      </c>
      <c r="L127" s="67">
        <f t="shared" si="717"/>
        <v>1</v>
      </c>
      <c r="M127" s="66">
        <f t="shared" si="718"/>
        <v>0</v>
      </c>
      <c r="N127" s="67">
        <f t="shared" si="719"/>
        <v>0</v>
      </c>
      <c r="O127" s="48"/>
      <c r="P127" s="47">
        <f t="shared" si="720"/>
        <v>0</v>
      </c>
      <c r="Q127" s="47">
        <f t="shared" si="721"/>
        <v>27130.751</v>
      </c>
      <c r="R127" s="47">
        <f t="shared" si="722"/>
        <v>0</v>
      </c>
      <c r="S127" s="48"/>
      <c r="T127" s="66">
        <f t="shared" si="723"/>
        <v>27130.751</v>
      </c>
      <c r="U127" s="67">
        <f t="shared" si="724"/>
        <v>1</v>
      </c>
      <c r="V127" s="66">
        <f t="shared" si="725"/>
        <v>0</v>
      </c>
      <c r="W127" s="67">
        <f t="shared" si="726"/>
        <v>0</v>
      </c>
      <c r="X127" s="48"/>
      <c r="Y127" s="47">
        <f t="shared" si="727"/>
        <v>12701.978</v>
      </c>
      <c r="Z127" s="47">
        <f t="shared" si="728"/>
        <v>32367.238</v>
      </c>
      <c r="AA127" s="47">
        <f t="shared" si="729"/>
        <v>59497.989</v>
      </c>
      <c r="AB127" s="95" t="str">
        <f t="shared" si="730"/>
        <v/>
      </c>
      <c r="AC127" s="17"/>
      <c r="AD127" s="66">
        <f t="shared" si="731"/>
        <v>46796.011</v>
      </c>
      <c r="AE127" s="67">
        <f t="shared" si="732"/>
        <v>0.7865141627</v>
      </c>
      <c r="AF127" s="66">
        <f t="shared" si="733"/>
        <v>-12701.978</v>
      </c>
      <c r="AG127" s="67">
        <f t="shared" si="734"/>
        <v>0</v>
      </c>
      <c r="AH127" s="117"/>
      <c r="AI127" s="47" t="str">
        <f t="shared" si="735"/>
        <v/>
      </c>
      <c r="AJ127" s="47" t="str">
        <f t="shared" ref="AJ127:AT127" si="736">IFERROR(IF(AJ$3="A",CN127,IF(AJ$3="F",DB127,IF(AJ$3="B",BL127,0))),"")</f>
        <v/>
      </c>
      <c r="AK127" s="47" t="str">
        <f t="shared" si="736"/>
        <v/>
      </c>
      <c r="AL127" s="47" t="str">
        <f t="shared" si="736"/>
        <v/>
      </c>
      <c r="AM127" s="47" t="str">
        <f t="shared" si="736"/>
        <v/>
      </c>
      <c r="AN127" s="47" t="str">
        <f t="shared" si="736"/>
        <v/>
      </c>
      <c r="AO127" s="47" t="str">
        <f t="shared" si="736"/>
        <v/>
      </c>
      <c r="AP127" s="47" t="str">
        <f t="shared" si="736"/>
        <v/>
      </c>
      <c r="AQ127" s="47" t="str">
        <f t="shared" si="736"/>
        <v/>
      </c>
      <c r="AR127" s="47">
        <f t="shared" si="736"/>
        <v>6128.061</v>
      </c>
      <c r="AS127" s="47">
        <f t="shared" si="736"/>
        <v>2961.965</v>
      </c>
      <c r="AT127" s="47">
        <f t="shared" si="736"/>
        <v>3611.952</v>
      </c>
      <c r="AU127" s="65">
        <f t="shared" si="737"/>
        <v>12701.978</v>
      </c>
      <c r="AV127" s="11"/>
      <c r="AW127" s="47" t="str">
        <f t="shared" ref="AW127:BH127" si="738">IFERROR(IF(AW$3="A",CM127,IF(AW$3="B",BK127)),0)</f>
        <v/>
      </c>
      <c r="AX127" s="47" t="str">
        <f t="shared" si="738"/>
        <v/>
      </c>
      <c r="AY127" s="47" t="str">
        <f t="shared" si="738"/>
        <v/>
      </c>
      <c r="AZ127" s="47" t="str">
        <f t="shared" si="738"/>
        <v/>
      </c>
      <c r="BA127" s="47" t="str">
        <f t="shared" si="738"/>
        <v/>
      </c>
      <c r="BB127" s="47" t="str">
        <f t="shared" si="738"/>
        <v/>
      </c>
      <c r="BC127" s="47">
        <f t="shared" si="738"/>
        <v>6446.801</v>
      </c>
      <c r="BD127" s="47">
        <f t="shared" si="738"/>
        <v>7075.494</v>
      </c>
      <c r="BE127" s="47">
        <f t="shared" si="738"/>
        <v>6142.965</v>
      </c>
      <c r="BF127" s="47">
        <f t="shared" si="738"/>
        <v>6128.061</v>
      </c>
      <c r="BG127" s="47">
        <f t="shared" si="738"/>
        <v>2961.965</v>
      </c>
      <c r="BH127" s="47">
        <f t="shared" si="738"/>
        <v>3611.952</v>
      </c>
      <c r="BI127" s="65">
        <f t="shared" si="739"/>
        <v>32367.238</v>
      </c>
      <c r="BJ127" s="117"/>
      <c r="BK127" s="128">
        <v>3639.566</v>
      </c>
      <c r="BL127" s="128">
        <v>5870.537</v>
      </c>
      <c r="BM127" s="128">
        <v>2980.133</v>
      </c>
      <c r="BN127" s="128">
        <v>4478.865</v>
      </c>
      <c r="BO127" s="128">
        <v>4644.883</v>
      </c>
      <c r="BP127" s="128">
        <v>5516.767</v>
      </c>
      <c r="BQ127" s="128">
        <v>6446.801</v>
      </c>
      <c r="BR127" s="128">
        <v>7075.494</v>
      </c>
      <c r="BS127" s="128">
        <v>6142.965</v>
      </c>
      <c r="BT127" s="128">
        <v>6128.061</v>
      </c>
      <c r="BU127" s="128">
        <v>2961.965</v>
      </c>
      <c r="BV127" s="128">
        <v>3611.952</v>
      </c>
      <c r="BW127" s="129">
        <v>59497.989</v>
      </c>
      <c r="BX127" s="1"/>
      <c r="BY127" s="47"/>
      <c r="BZ127" s="47"/>
      <c r="CA127" s="47"/>
      <c r="CB127" s="47"/>
      <c r="CC127" s="47"/>
      <c r="CD127" s="47"/>
      <c r="CE127" s="47"/>
      <c r="CF127" s="47"/>
      <c r="CG127" s="47"/>
      <c r="CH127" s="47"/>
      <c r="CI127" s="47"/>
      <c r="CJ127" s="47"/>
      <c r="CK127" s="65"/>
      <c r="CL127" s="47"/>
      <c r="CM127" s="47"/>
      <c r="CN127" s="47"/>
      <c r="CO127" s="47"/>
      <c r="CP127" s="47"/>
      <c r="CQ127" s="47"/>
      <c r="CR127" s="47"/>
      <c r="CS127" s="47"/>
      <c r="CT127" s="47"/>
      <c r="CU127" s="47"/>
      <c r="CV127" s="47"/>
      <c r="CW127" s="47"/>
      <c r="CX127" s="47"/>
      <c r="CY127" s="65"/>
      <c r="CZ127" s="11"/>
      <c r="DA127" s="47">
        <f t="shared" si="740"/>
        <v>3639.566</v>
      </c>
      <c r="DB127" s="47"/>
      <c r="DC127" s="47"/>
      <c r="DD127" s="47"/>
      <c r="DE127" s="47"/>
      <c r="DF127" s="47"/>
      <c r="DG127" s="47"/>
      <c r="DH127" s="47"/>
      <c r="DI127" s="47"/>
      <c r="DJ127" s="47"/>
      <c r="DK127" s="47"/>
      <c r="DL127" s="47"/>
      <c r="DM127" s="65">
        <f t="shared" si="741"/>
        <v>3639.566</v>
      </c>
      <c r="DN127" s="1"/>
      <c r="DO127" s="130"/>
      <c r="DP127" s="130"/>
      <c r="DQ127" s="131"/>
    </row>
    <row r="128" outlineLevel="2">
      <c r="A128" s="15"/>
      <c r="B128" s="1" t="s">
        <v>132</v>
      </c>
      <c r="C128" s="15"/>
      <c r="D128" s="47">
        <f t="shared" si="710"/>
        <v>0</v>
      </c>
      <c r="E128" s="47">
        <f t="shared" si="711"/>
        <v>0</v>
      </c>
      <c r="F128" s="47">
        <f t="shared" si="712"/>
        <v>0</v>
      </c>
      <c r="G128" s="47">
        <f t="shared" si="713"/>
        <v>0</v>
      </c>
      <c r="H128" s="48"/>
      <c r="I128" s="66">
        <f t="shared" si="714"/>
        <v>0</v>
      </c>
      <c r="J128" s="67">
        <f t="shared" si="715"/>
        <v>0</v>
      </c>
      <c r="K128" s="66">
        <f t="shared" si="716"/>
        <v>0</v>
      </c>
      <c r="L128" s="67">
        <f t="shared" si="717"/>
        <v>0</v>
      </c>
      <c r="M128" s="66">
        <f t="shared" si="718"/>
        <v>0</v>
      </c>
      <c r="N128" s="67">
        <f t="shared" si="719"/>
        <v>0</v>
      </c>
      <c r="O128" s="48"/>
      <c r="P128" s="47">
        <f t="shared" si="720"/>
        <v>0</v>
      </c>
      <c r="Q128" s="47">
        <f t="shared" si="721"/>
        <v>0</v>
      </c>
      <c r="R128" s="47">
        <f t="shared" si="722"/>
        <v>0</v>
      </c>
      <c r="S128" s="48"/>
      <c r="T128" s="66">
        <f t="shared" si="723"/>
        <v>0</v>
      </c>
      <c r="U128" s="67">
        <f t="shared" si="724"/>
        <v>0</v>
      </c>
      <c r="V128" s="66">
        <f t="shared" si="725"/>
        <v>0</v>
      </c>
      <c r="W128" s="67">
        <f t="shared" si="726"/>
        <v>0</v>
      </c>
      <c r="X128" s="48"/>
      <c r="Y128" s="47">
        <f t="shared" si="727"/>
        <v>0</v>
      </c>
      <c r="Z128" s="47">
        <f t="shared" si="728"/>
        <v>0</v>
      </c>
      <c r="AA128" s="47">
        <f t="shared" si="729"/>
        <v>0</v>
      </c>
      <c r="AB128" s="95" t="str">
        <f t="shared" si="730"/>
        <v/>
      </c>
      <c r="AC128" s="17"/>
      <c r="AD128" s="66">
        <f t="shared" si="731"/>
        <v>0</v>
      </c>
      <c r="AE128" s="67">
        <f t="shared" si="732"/>
        <v>0</v>
      </c>
      <c r="AF128" s="66">
        <f t="shared" si="733"/>
        <v>0</v>
      </c>
      <c r="AG128" s="67">
        <f t="shared" si="734"/>
        <v>0</v>
      </c>
      <c r="AH128" s="117"/>
      <c r="AI128" s="47" t="str">
        <f t="shared" si="735"/>
        <v/>
      </c>
      <c r="AJ128" s="47" t="str">
        <f t="shared" ref="AJ128:AT128" si="742">IFERROR(IF(AJ$3="A",CN128,IF(AJ$3="F",DB128,IF(AJ$3="B",BL128,0))),"")</f>
        <v/>
      </c>
      <c r="AK128" s="47" t="str">
        <f t="shared" si="742"/>
        <v/>
      </c>
      <c r="AL128" s="47" t="str">
        <f t="shared" si="742"/>
        <v/>
      </c>
      <c r="AM128" s="47" t="str">
        <f t="shared" si="742"/>
        <v/>
      </c>
      <c r="AN128" s="47" t="str">
        <f t="shared" si="742"/>
        <v/>
      </c>
      <c r="AO128" s="47" t="str">
        <f t="shared" si="742"/>
        <v/>
      </c>
      <c r="AP128" s="47" t="str">
        <f t="shared" si="742"/>
        <v/>
      </c>
      <c r="AQ128" s="47" t="str">
        <f t="shared" si="742"/>
        <v/>
      </c>
      <c r="AR128" s="47">
        <f t="shared" si="742"/>
        <v>0</v>
      </c>
      <c r="AS128" s="47">
        <f t="shared" si="742"/>
        <v>0</v>
      </c>
      <c r="AT128" s="47">
        <f t="shared" si="742"/>
        <v>0</v>
      </c>
      <c r="AU128" s="65">
        <f t="shared" si="737"/>
        <v>0</v>
      </c>
      <c r="AV128" s="11"/>
      <c r="AW128" s="47" t="str">
        <f t="shared" ref="AW128:BH128" si="743">IFERROR(IF(AW$3="A",CM128,IF(AW$3="B",BK128)),0)</f>
        <v/>
      </c>
      <c r="AX128" s="47" t="str">
        <f t="shared" si="743"/>
        <v/>
      </c>
      <c r="AY128" s="47" t="str">
        <f t="shared" si="743"/>
        <v/>
      </c>
      <c r="AZ128" s="47" t="str">
        <f t="shared" si="743"/>
        <v/>
      </c>
      <c r="BA128" s="47" t="str">
        <f t="shared" si="743"/>
        <v/>
      </c>
      <c r="BB128" s="47" t="str">
        <f t="shared" si="743"/>
        <v/>
      </c>
      <c r="BC128" s="47">
        <f t="shared" si="743"/>
        <v>0</v>
      </c>
      <c r="BD128" s="47">
        <f t="shared" si="743"/>
        <v>0</v>
      </c>
      <c r="BE128" s="47">
        <f t="shared" si="743"/>
        <v>0</v>
      </c>
      <c r="BF128" s="47">
        <f t="shared" si="743"/>
        <v>0</v>
      </c>
      <c r="BG128" s="47">
        <f t="shared" si="743"/>
        <v>0</v>
      </c>
      <c r="BH128" s="47">
        <f t="shared" si="743"/>
        <v>0</v>
      </c>
      <c r="BI128" s="65">
        <f t="shared" si="739"/>
        <v>0</v>
      </c>
      <c r="BJ128" s="117"/>
      <c r="BK128" s="128">
        <v>0.0</v>
      </c>
      <c r="BL128" s="128">
        <v>0.0</v>
      </c>
      <c r="BM128" s="128">
        <v>0.0</v>
      </c>
      <c r="BN128" s="128">
        <v>0.0</v>
      </c>
      <c r="BO128" s="128">
        <v>0.0</v>
      </c>
      <c r="BP128" s="128">
        <v>0.0</v>
      </c>
      <c r="BQ128" s="128">
        <v>0.0</v>
      </c>
      <c r="BR128" s="128">
        <v>0.0</v>
      </c>
      <c r="BS128" s="128">
        <v>0.0</v>
      </c>
      <c r="BT128" s="128">
        <v>0.0</v>
      </c>
      <c r="BU128" s="128">
        <v>0.0</v>
      </c>
      <c r="BV128" s="128">
        <v>0.0</v>
      </c>
      <c r="BW128" s="129">
        <v>0.0</v>
      </c>
      <c r="BX128" s="1"/>
      <c r="BY128" s="47"/>
      <c r="BZ128" s="47"/>
      <c r="CA128" s="47"/>
      <c r="CB128" s="47"/>
      <c r="CC128" s="47"/>
      <c r="CD128" s="47"/>
      <c r="CE128" s="47"/>
      <c r="CF128" s="47"/>
      <c r="CG128" s="47"/>
      <c r="CH128" s="47"/>
      <c r="CI128" s="47"/>
      <c r="CJ128" s="47"/>
      <c r="CK128" s="65"/>
      <c r="CL128" s="47"/>
      <c r="CM128" s="47"/>
      <c r="CN128" s="47"/>
      <c r="CO128" s="47"/>
      <c r="CP128" s="47"/>
      <c r="CQ128" s="47"/>
      <c r="CR128" s="47"/>
      <c r="CS128" s="47"/>
      <c r="CT128" s="47"/>
      <c r="CU128" s="47"/>
      <c r="CV128" s="47"/>
      <c r="CW128" s="47"/>
      <c r="CX128" s="47"/>
      <c r="CY128" s="65"/>
      <c r="CZ128" s="11"/>
      <c r="DA128" s="47">
        <f t="shared" si="740"/>
        <v>0</v>
      </c>
      <c r="DB128" s="47"/>
      <c r="DC128" s="47"/>
      <c r="DD128" s="47"/>
      <c r="DE128" s="47"/>
      <c r="DF128" s="47"/>
      <c r="DG128" s="47"/>
      <c r="DH128" s="47"/>
      <c r="DI128" s="47"/>
      <c r="DJ128" s="47"/>
      <c r="DK128" s="47"/>
      <c r="DL128" s="47"/>
      <c r="DM128" s="65">
        <f t="shared" si="741"/>
        <v>0</v>
      </c>
      <c r="DN128" s="1"/>
      <c r="DO128" s="130"/>
      <c r="DP128" s="130"/>
      <c r="DQ128" s="131"/>
    </row>
    <row r="129" outlineLevel="2">
      <c r="A129" s="15"/>
      <c r="B129" s="123" t="s">
        <v>133</v>
      </c>
      <c r="C129" s="124"/>
      <c r="D129" s="47">
        <f t="shared" si="710"/>
        <v>0</v>
      </c>
      <c r="E129" s="47">
        <f t="shared" si="711"/>
        <v>0</v>
      </c>
      <c r="F129" s="47">
        <f t="shared" si="712"/>
        <v>1438.982</v>
      </c>
      <c r="G129" s="47">
        <f t="shared" si="713"/>
        <v>0</v>
      </c>
      <c r="H129" s="48"/>
      <c r="I129" s="66">
        <f t="shared" si="714"/>
        <v>0</v>
      </c>
      <c r="J129" s="67">
        <f t="shared" si="715"/>
        <v>0</v>
      </c>
      <c r="K129" s="66">
        <f t="shared" si="716"/>
        <v>1438.982</v>
      </c>
      <c r="L129" s="67">
        <f t="shared" si="717"/>
        <v>1</v>
      </c>
      <c r="M129" s="66">
        <f t="shared" si="718"/>
        <v>0</v>
      </c>
      <c r="N129" s="67">
        <f t="shared" si="719"/>
        <v>0</v>
      </c>
      <c r="O129" s="48"/>
      <c r="P129" s="47">
        <f t="shared" si="720"/>
        <v>0</v>
      </c>
      <c r="Q129" s="47">
        <f t="shared" si="721"/>
        <v>7855.772</v>
      </c>
      <c r="R129" s="47">
        <f t="shared" si="722"/>
        <v>0</v>
      </c>
      <c r="S129" s="48"/>
      <c r="T129" s="66">
        <f t="shared" si="723"/>
        <v>7855.772</v>
      </c>
      <c r="U129" s="67">
        <f t="shared" si="724"/>
        <v>1</v>
      </c>
      <c r="V129" s="66">
        <f t="shared" si="725"/>
        <v>0</v>
      </c>
      <c r="W129" s="67">
        <f t="shared" si="726"/>
        <v>0</v>
      </c>
      <c r="X129" s="48"/>
      <c r="Y129" s="47">
        <f t="shared" si="727"/>
        <v>3993.6286</v>
      </c>
      <c r="Z129" s="47">
        <f t="shared" si="728"/>
        <v>9152.5286</v>
      </c>
      <c r="AA129" s="47">
        <f t="shared" si="729"/>
        <v>17008.3006</v>
      </c>
      <c r="AB129" s="95" t="str">
        <f t="shared" si="730"/>
        <v/>
      </c>
      <c r="AC129" s="125"/>
      <c r="AD129" s="66">
        <f t="shared" si="731"/>
        <v>13014.672</v>
      </c>
      <c r="AE129" s="67">
        <f t="shared" si="732"/>
        <v>0.7651953188</v>
      </c>
      <c r="AF129" s="66">
        <f t="shared" si="733"/>
        <v>-3993.6286</v>
      </c>
      <c r="AG129" s="67">
        <f t="shared" si="734"/>
        <v>0</v>
      </c>
      <c r="AH129" s="126"/>
      <c r="AI129" s="47" t="str">
        <f t="shared" si="735"/>
        <v/>
      </c>
      <c r="AJ129" s="47" t="str">
        <f t="shared" ref="AJ129:AT129" si="744">IFERROR(IF(AJ$3="A",CN129,IF(AJ$3="F",DB129,IF(AJ$3="B",BL129,0))),"")</f>
        <v/>
      </c>
      <c r="AK129" s="47" t="str">
        <f t="shared" si="744"/>
        <v/>
      </c>
      <c r="AL129" s="47" t="str">
        <f t="shared" si="744"/>
        <v/>
      </c>
      <c r="AM129" s="47" t="str">
        <f t="shared" si="744"/>
        <v/>
      </c>
      <c r="AN129" s="47" t="str">
        <f t="shared" si="744"/>
        <v/>
      </c>
      <c r="AO129" s="47" t="str">
        <f t="shared" si="744"/>
        <v/>
      </c>
      <c r="AP129" s="47" t="str">
        <f t="shared" si="744"/>
        <v/>
      </c>
      <c r="AQ129" s="47" t="str">
        <f t="shared" si="744"/>
        <v/>
      </c>
      <c r="AR129" s="47">
        <f t="shared" si="744"/>
        <v>1819.001</v>
      </c>
      <c r="AS129" s="47">
        <f t="shared" si="744"/>
        <v>990.9096</v>
      </c>
      <c r="AT129" s="47">
        <f t="shared" si="744"/>
        <v>1183.718</v>
      </c>
      <c r="AU129" s="65">
        <f t="shared" si="737"/>
        <v>3993.6286</v>
      </c>
      <c r="AV129" s="127"/>
      <c r="AW129" s="47" t="str">
        <f t="shared" ref="AW129:BH129" si="745">IFERROR(IF(AW$3="A",CM129,IF(AW$3="B",BK129)),0)</f>
        <v/>
      </c>
      <c r="AX129" s="47" t="str">
        <f t="shared" si="745"/>
        <v/>
      </c>
      <c r="AY129" s="47" t="str">
        <f t="shared" si="745"/>
        <v/>
      </c>
      <c r="AZ129" s="47" t="str">
        <f t="shared" si="745"/>
        <v/>
      </c>
      <c r="BA129" s="47" t="str">
        <f t="shared" si="745"/>
        <v/>
      </c>
      <c r="BB129" s="47" t="str">
        <f t="shared" si="745"/>
        <v/>
      </c>
      <c r="BC129" s="47">
        <f t="shared" si="745"/>
        <v>1714.364</v>
      </c>
      <c r="BD129" s="47">
        <f t="shared" si="745"/>
        <v>1533.448</v>
      </c>
      <c r="BE129" s="47">
        <f t="shared" si="745"/>
        <v>1911.088</v>
      </c>
      <c r="BF129" s="47">
        <f t="shared" si="745"/>
        <v>1819.001</v>
      </c>
      <c r="BG129" s="47">
        <f t="shared" si="745"/>
        <v>990.9096</v>
      </c>
      <c r="BH129" s="47">
        <f t="shared" si="745"/>
        <v>1183.718</v>
      </c>
      <c r="BI129" s="65">
        <f t="shared" si="739"/>
        <v>9152.5286</v>
      </c>
      <c r="BJ129" s="126"/>
      <c r="BK129" s="128">
        <v>1237.897</v>
      </c>
      <c r="BL129" s="128">
        <v>1223.442</v>
      </c>
      <c r="BM129" s="128">
        <v>919.803</v>
      </c>
      <c r="BN129" s="128">
        <v>1312.146</v>
      </c>
      <c r="BO129" s="128">
        <v>1723.502</v>
      </c>
      <c r="BP129" s="128">
        <v>1438.982</v>
      </c>
      <c r="BQ129" s="128">
        <v>1714.364</v>
      </c>
      <c r="BR129" s="128">
        <v>1533.448</v>
      </c>
      <c r="BS129" s="128">
        <v>1911.088</v>
      </c>
      <c r="BT129" s="128">
        <v>1819.001</v>
      </c>
      <c r="BU129" s="128">
        <v>990.9096</v>
      </c>
      <c r="BV129" s="128">
        <v>1183.718</v>
      </c>
      <c r="BW129" s="129">
        <v>17008.3006</v>
      </c>
      <c r="BX129" s="1"/>
      <c r="BY129" s="47"/>
      <c r="BZ129" s="47"/>
      <c r="CA129" s="47"/>
      <c r="CB129" s="47"/>
      <c r="CC129" s="47"/>
      <c r="CD129" s="47"/>
      <c r="CE129" s="47"/>
      <c r="CF129" s="47"/>
      <c r="CG129" s="47"/>
      <c r="CH129" s="47"/>
      <c r="CI129" s="47"/>
      <c r="CJ129" s="47"/>
      <c r="CK129" s="65"/>
      <c r="CL129" s="47"/>
      <c r="CM129" s="47"/>
      <c r="CN129" s="47"/>
      <c r="CO129" s="47"/>
      <c r="CP129" s="47"/>
      <c r="CQ129" s="47"/>
      <c r="CR129" s="47"/>
      <c r="CS129" s="47"/>
      <c r="CT129" s="47"/>
      <c r="CU129" s="47"/>
      <c r="CV129" s="47"/>
      <c r="CW129" s="47"/>
      <c r="CX129" s="47"/>
      <c r="CY129" s="65"/>
      <c r="CZ129" s="11"/>
      <c r="DA129" s="47">
        <f t="shared" si="740"/>
        <v>1237.897</v>
      </c>
      <c r="DB129" s="47"/>
      <c r="DC129" s="47"/>
      <c r="DD129" s="47"/>
      <c r="DE129" s="47"/>
      <c r="DF129" s="47"/>
      <c r="DG129" s="47"/>
      <c r="DH129" s="47"/>
      <c r="DI129" s="47"/>
      <c r="DJ129" s="47"/>
      <c r="DK129" s="47"/>
      <c r="DL129" s="47"/>
      <c r="DM129" s="65">
        <f t="shared" si="741"/>
        <v>1237.897</v>
      </c>
      <c r="DN129" s="1"/>
      <c r="DO129" s="130"/>
      <c r="DP129" s="130"/>
      <c r="DQ129" s="131"/>
    </row>
    <row r="130" outlineLevel="2">
      <c r="A130" s="15"/>
      <c r="B130" s="1" t="s">
        <v>134</v>
      </c>
      <c r="C130" s="15"/>
      <c r="D130" s="47">
        <f t="shared" si="710"/>
        <v>0</v>
      </c>
      <c r="E130" s="47">
        <f t="shared" si="711"/>
        <v>0</v>
      </c>
      <c r="F130" s="47">
        <f t="shared" si="712"/>
        <v>723.525</v>
      </c>
      <c r="G130" s="47">
        <f t="shared" si="713"/>
        <v>0</v>
      </c>
      <c r="H130" s="48"/>
      <c r="I130" s="66">
        <f t="shared" si="714"/>
        <v>0</v>
      </c>
      <c r="J130" s="67">
        <f t="shared" si="715"/>
        <v>0</v>
      </c>
      <c r="K130" s="66">
        <f t="shared" si="716"/>
        <v>723.525</v>
      </c>
      <c r="L130" s="67">
        <f t="shared" si="717"/>
        <v>1</v>
      </c>
      <c r="M130" s="66">
        <f t="shared" si="718"/>
        <v>0</v>
      </c>
      <c r="N130" s="67">
        <f t="shared" si="719"/>
        <v>0</v>
      </c>
      <c r="O130" s="48"/>
      <c r="P130" s="47">
        <f t="shared" si="720"/>
        <v>0</v>
      </c>
      <c r="Q130" s="47">
        <f t="shared" si="721"/>
        <v>5199.479</v>
      </c>
      <c r="R130" s="47">
        <f t="shared" si="722"/>
        <v>0</v>
      </c>
      <c r="S130" s="48"/>
      <c r="T130" s="66">
        <f t="shared" si="723"/>
        <v>5199.479</v>
      </c>
      <c r="U130" s="67">
        <f t="shared" si="724"/>
        <v>1</v>
      </c>
      <c r="V130" s="66">
        <f t="shared" si="725"/>
        <v>0</v>
      </c>
      <c r="W130" s="67">
        <f t="shared" si="726"/>
        <v>0</v>
      </c>
      <c r="X130" s="48"/>
      <c r="Y130" s="47">
        <f t="shared" si="727"/>
        <v>3302.9875</v>
      </c>
      <c r="Z130" s="47">
        <f t="shared" si="728"/>
        <v>7230.3315</v>
      </c>
      <c r="AA130" s="47">
        <f t="shared" si="729"/>
        <v>12429.8105</v>
      </c>
      <c r="AB130" s="95" t="str">
        <f t="shared" si="730"/>
        <v/>
      </c>
      <c r="AC130" s="17"/>
      <c r="AD130" s="66">
        <f t="shared" si="731"/>
        <v>9126.823</v>
      </c>
      <c r="AE130" s="67">
        <f t="shared" si="732"/>
        <v>0.7342688772</v>
      </c>
      <c r="AF130" s="66">
        <f t="shared" si="733"/>
        <v>-3302.9875</v>
      </c>
      <c r="AG130" s="67">
        <f t="shared" si="734"/>
        <v>0</v>
      </c>
      <c r="AH130" s="117"/>
      <c r="AI130" s="47" t="str">
        <f t="shared" si="735"/>
        <v/>
      </c>
      <c r="AJ130" s="47" t="str">
        <f t="shared" ref="AJ130:AT130" si="746">IFERROR(IF(AJ$3="A",CN130,IF(AJ$3="F",DB130,IF(AJ$3="B",BL130,0))),"")</f>
        <v/>
      </c>
      <c r="AK130" s="47" t="str">
        <f t="shared" si="746"/>
        <v/>
      </c>
      <c r="AL130" s="47" t="str">
        <f t="shared" si="746"/>
        <v/>
      </c>
      <c r="AM130" s="47" t="str">
        <f t="shared" si="746"/>
        <v/>
      </c>
      <c r="AN130" s="47" t="str">
        <f t="shared" si="746"/>
        <v/>
      </c>
      <c r="AO130" s="47" t="str">
        <f t="shared" si="746"/>
        <v/>
      </c>
      <c r="AP130" s="47" t="str">
        <f t="shared" si="746"/>
        <v/>
      </c>
      <c r="AQ130" s="47" t="str">
        <f t="shared" si="746"/>
        <v/>
      </c>
      <c r="AR130" s="47">
        <f t="shared" si="746"/>
        <v>1536.689</v>
      </c>
      <c r="AS130" s="47">
        <f t="shared" si="746"/>
        <v>815.6195</v>
      </c>
      <c r="AT130" s="47">
        <f t="shared" si="746"/>
        <v>950.679</v>
      </c>
      <c r="AU130" s="65">
        <f t="shared" si="737"/>
        <v>3302.9875</v>
      </c>
      <c r="AV130" s="11"/>
      <c r="AW130" s="47" t="str">
        <f t="shared" ref="AW130:BH130" si="747">IFERROR(IF(AW$3="A",CM130,IF(AW$3="B",BK130)),0)</f>
        <v/>
      </c>
      <c r="AX130" s="47" t="str">
        <f t="shared" si="747"/>
        <v/>
      </c>
      <c r="AY130" s="47" t="str">
        <f t="shared" si="747"/>
        <v/>
      </c>
      <c r="AZ130" s="47" t="str">
        <f t="shared" si="747"/>
        <v/>
      </c>
      <c r="BA130" s="47" t="str">
        <f t="shared" si="747"/>
        <v/>
      </c>
      <c r="BB130" s="47" t="str">
        <f t="shared" si="747"/>
        <v/>
      </c>
      <c r="BC130" s="47">
        <f t="shared" si="747"/>
        <v>1317.522</v>
      </c>
      <c r="BD130" s="47">
        <f t="shared" si="747"/>
        <v>1069.395</v>
      </c>
      <c r="BE130" s="47">
        <f t="shared" si="747"/>
        <v>1540.427</v>
      </c>
      <c r="BF130" s="47">
        <f t="shared" si="747"/>
        <v>1536.689</v>
      </c>
      <c r="BG130" s="47">
        <f t="shared" si="747"/>
        <v>815.6195</v>
      </c>
      <c r="BH130" s="47">
        <f t="shared" si="747"/>
        <v>950.679</v>
      </c>
      <c r="BI130" s="65">
        <f t="shared" si="739"/>
        <v>7230.3315</v>
      </c>
      <c r="BJ130" s="117"/>
      <c r="BK130" s="128">
        <v>807.499</v>
      </c>
      <c r="BL130" s="128">
        <v>784.766</v>
      </c>
      <c r="BM130" s="128">
        <v>732.227</v>
      </c>
      <c r="BN130" s="128">
        <v>1269.423</v>
      </c>
      <c r="BO130" s="128">
        <v>882.039</v>
      </c>
      <c r="BP130" s="128">
        <v>723.525</v>
      </c>
      <c r="BQ130" s="128">
        <v>1317.522</v>
      </c>
      <c r="BR130" s="128">
        <v>1069.395</v>
      </c>
      <c r="BS130" s="128">
        <v>1540.427</v>
      </c>
      <c r="BT130" s="128">
        <v>1536.689</v>
      </c>
      <c r="BU130" s="128">
        <v>815.6195</v>
      </c>
      <c r="BV130" s="128">
        <v>950.679</v>
      </c>
      <c r="BW130" s="129">
        <v>12429.8105</v>
      </c>
      <c r="BX130" s="1"/>
      <c r="BY130" s="47"/>
      <c r="BZ130" s="47"/>
      <c r="CA130" s="47"/>
      <c r="CB130" s="47"/>
      <c r="CC130" s="47"/>
      <c r="CD130" s="47"/>
      <c r="CE130" s="47"/>
      <c r="CF130" s="47"/>
      <c r="CG130" s="47"/>
      <c r="CH130" s="47"/>
      <c r="CI130" s="47"/>
      <c r="CJ130" s="47"/>
      <c r="CK130" s="65"/>
      <c r="CL130" s="47"/>
      <c r="CM130" s="47"/>
      <c r="CN130" s="47"/>
      <c r="CO130" s="47"/>
      <c r="CP130" s="47"/>
      <c r="CQ130" s="47"/>
      <c r="CR130" s="47"/>
      <c r="CS130" s="47"/>
      <c r="CT130" s="47"/>
      <c r="CU130" s="47"/>
      <c r="CV130" s="47"/>
      <c r="CW130" s="47"/>
      <c r="CX130" s="47"/>
      <c r="CY130" s="65"/>
      <c r="CZ130" s="11"/>
      <c r="DA130" s="47">
        <f t="shared" si="740"/>
        <v>807.499</v>
      </c>
      <c r="DB130" s="47"/>
      <c r="DC130" s="47"/>
      <c r="DD130" s="47"/>
      <c r="DE130" s="47"/>
      <c r="DF130" s="47"/>
      <c r="DG130" s="47"/>
      <c r="DH130" s="47"/>
      <c r="DI130" s="47"/>
      <c r="DJ130" s="47"/>
      <c r="DK130" s="47"/>
      <c r="DL130" s="47"/>
      <c r="DM130" s="65">
        <f t="shared" si="741"/>
        <v>807.499</v>
      </c>
      <c r="DN130" s="1"/>
      <c r="DO130" s="130"/>
      <c r="DP130" s="130"/>
      <c r="DQ130" s="131"/>
    </row>
    <row r="131" outlineLevel="2">
      <c r="A131" s="15"/>
      <c r="B131" s="1" t="s">
        <v>135</v>
      </c>
      <c r="C131" s="15"/>
      <c r="D131" s="47">
        <f t="shared" si="710"/>
        <v>0</v>
      </c>
      <c r="E131" s="47">
        <f t="shared" si="711"/>
        <v>0</v>
      </c>
      <c r="F131" s="47">
        <f t="shared" si="712"/>
        <v>397.65</v>
      </c>
      <c r="G131" s="47">
        <f t="shared" si="713"/>
        <v>0</v>
      </c>
      <c r="H131" s="48"/>
      <c r="I131" s="66">
        <f t="shared" si="714"/>
        <v>0</v>
      </c>
      <c r="J131" s="67">
        <f t="shared" si="715"/>
        <v>0</v>
      </c>
      <c r="K131" s="66">
        <f t="shared" si="716"/>
        <v>397.65</v>
      </c>
      <c r="L131" s="67">
        <f t="shared" si="717"/>
        <v>1</v>
      </c>
      <c r="M131" s="66">
        <f t="shared" si="718"/>
        <v>0</v>
      </c>
      <c r="N131" s="67">
        <f t="shared" si="719"/>
        <v>0</v>
      </c>
      <c r="O131" s="48"/>
      <c r="P131" s="47">
        <f t="shared" si="720"/>
        <v>0</v>
      </c>
      <c r="Q131" s="47">
        <f t="shared" si="721"/>
        <v>2576.07</v>
      </c>
      <c r="R131" s="47">
        <f t="shared" si="722"/>
        <v>0</v>
      </c>
      <c r="S131" s="48"/>
      <c r="T131" s="66">
        <f t="shared" si="723"/>
        <v>2576.07</v>
      </c>
      <c r="U131" s="67">
        <f t="shared" si="724"/>
        <v>1</v>
      </c>
      <c r="V131" s="66">
        <f t="shared" si="725"/>
        <v>0</v>
      </c>
      <c r="W131" s="67">
        <f t="shared" si="726"/>
        <v>0</v>
      </c>
      <c r="X131" s="48"/>
      <c r="Y131" s="47">
        <f t="shared" si="727"/>
        <v>1336.4692</v>
      </c>
      <c r="Z131" s="47">
        <f t="shared" si="728"/>
        <v>2933.7252</v>
      </c>
      <c r="AA131" s="47">
        <f t="shared" si="729"/>
        <v>5509.7952</v>
      </c>
      <c r="AB131" s="95" t="str">
        <f t="shared" si="730"/>
        <v/>
      </c>
      <c r="AC131" s="17"/>
      <c r="AD131" s="66">
        <f t="shared" si="731"/>
        <v>4173.326</v>
      </c>
      <c r="AE131" s="67">
        <f t="shared" si="732"/>
        <v>0.7574375904</v>
      </c>
      <c r="AF131" s="66">
        <f t="shared" si="733"/>
        <v>-1336.4692</v>
      </c>
      <c r="AG131" s="67">
        <f t="shared" si="734"/>
        <v>0</v>
      </c>
      <c r="AH131" s="117"/>
      <c r="AI131" s="47" t="str">
        <f t="shared" si="735"/>
        <v/>
      </c>
      <c r="AJ131" s="47" t="str">
        <f t="shared" ref="AJ131:AT131" si="748">IFERROR(IF(AJ$3="A",CN131,IF(AJ$3="F",DB131,IF(AJ$3="B",BL131,0))),"")</f>
        <v/>
      </c>
      <c r="AK131" s="47" t="str">
        <f t="shared" si="748"/>
        <v/>
      </c>
      <c r="AL131" s="47" t="str">
        <f t="shared" si="748"/>
        <v/>
      </c>
      <c r="AM131" s="47" t="str">
        <f t="shared" si="748"/>
        <v/>
      </c>
      <c r="AN131" s="47" t="str">
        <f t="shared" si="748"/>
        <v/>
      </c>
      <c r="AO131" s="47" t="str">
        <f t="shared" si="748"/>
        <v/>
      </c>
      <c r="AP131" s="47" t="str">
        <f t="shared" si="748"/>
        <v/>
      </c>
      <c r="AQ131" s="47" t="str">
        <f t="shared" si="748"/>
        <v/>
      </c>
      <c r="AR131" s="47">
        <f t="shared" si="748"/>
        <v>621.782</v>
      </c>
      <c r="AS131" s="47">
        <f t="shared" si="748"/>
        <v>330.0192</v>
      </c>
      <c r="AT131" s="47">
        <f t="shared" si="748"/>
        <v>384.668</v>
      </c>
      <c r="AU131" s="65">
        <f t="shared" si="737"/>
        <v>1336.4692</v>
      </c>
      <c r="AV131" s="11"/>
      <c r="AW131" s="47" t="str">
        <f t="shared" ref="AW131:BH131" si="749">IFERROR(IF(AW$3="A",CM131,IF(AW$3="B",BK131)),0)</f>
        <v/>
      </c>
      <c r="AX131" s="47" t="str">
        <f t="shared" si="749"/>
        <v/>
      </c>
      <c r="AY131" s="47" t="str">
        <f t="shared" si="749"/>
        <v/>
      </c>
      <c r="AZ131" s="47" t="str">
        <f t="shared" si="749"/>
        <v/>
      </c>
      <c r="BA131" s="47" t="str">
        <f t="shared" si="749"/>
        <v/>
      </c>
      <c r="BB131" s="47" t="str">
        <f t="shared" si="749"/>
        <v/>
      </c>
      <c r="BC131" s="47">
        <f t="shared" si="749"/>
        <v>622.529</v>
      </c>
      <c r="BD131" s="47">
        <f t="shared" si="749"/>
        <v>520.613</v>
      </c>
      <c r="BE131" s="47">
        <f t="shared" si="749"/>
        <v>454.114</v>
      </c>
      <c r="BF131" s="47">
        <f t="shared" si="749"/>
        <v>621.782</v>
      </c>
      <c r="BG131" s="47">
        <f t="shared" si="749"/>
        <v>330.0192</v>
      </c>
      <c r="BH131" s="47">
        <f t="shared" si="749"/>
        <v>384.668</v>
      </c>
      <c r="BI131" s="65">
        <f t="shared" si="739"/>
        <v>2933.7252</v>
      </c>
      <c r="BJ131" s="117"/>
      <c r="BK131" s="128">
        <v>442.783</v>
      </c>
      <c r="BL131" s="128">
        <v>430.679</v>
      </c>
      <c r="BM131" s="128">
        <v>295.578</v>
      </c>
      <c r="BN131" s="128">
        <v>474.654</v>
      </c>
      <c r="BO131" s="128">
        <v>534.726</v>
      </c>
      <c r="BP131" s="128">
        <v>397.65</v>
      </c>
      <c r="BQ131" s="128">
        <v>622.529</v>
      </c>
      <c r="BR131" s="128">
        <v>520.613</v>
      </c>
      <c r="BS131" s="128">
        <v>454.114</v>
      </c>
      <c r="BT131" s="128">
        <v>621.782</v>
      </c>
      <c r="BU131" s="128">
        <v>330.0192</v>
      </c>
      <c r="BV131" s="128">
        <v>384.668</v>
      </c>
      <c r="BW131" s="129">
        <v>5509.7952</v>
      </c>
      <c r="BX131" s="1"/>
      <c r="BY131" s="47"/>
      <c r="BZ131" s="47"/>
      <c r="CA131" s="47"/>
      <c r="CB131" s="47"/>
      <c r="CC131" s="47"/>
      <c r="CD131" s="47"/>
      <c r="CE131" s="47"/>
      <c r="CF131" s="47"/>
      <c r="CG131" s="47"/>
      <c r="CH131" s="47"/>
      <c r="CI131" s="47"/>
      <c r="CJ131" s="47"/>
      <c r="CK131" s="65"/>
      <c r="CL131" s="47"/>
      <c r="CM131" s="47"/>
      <c r="CN131" s="47"/>
      <c r="CO131" s="47"/>
      <c r="CP131" s="47"/>
      <c r="CQ131" s="47"/>
      <c r="CR131" s="47"/>
      <c r="CS131" s="47"/>
      <c r="CT131" s="47"/>
      <c r="CU131" s="47"/>
      <c r="CV131" s="47"/>
      <c r="CW131" s="47"/>
      <c r="CX131" s="47"/>
      <c r="CY131" s="65"/>
      <c r="CZ131" s="11"/>
      <c r="DA131" s="47">
        <f t="shared" si="740"/>
        <v>442.783</v>
      </c>
      <c r="DB131" s="47"/>
      <c r="DC131" s="47"/>
      <c r="DD131" s="47"/>
      <c r="DE131" s="47"/>
      <c r="DF131" s="47"/>
      <c r="DG131" s="47"/>
      <c r="DH131" s="47"/>
      <c r="DI131" s="47"/>
      <c r="DJ131" s="47"/>
      <c r="DK131" s="47"/>
      <c r="DL131" s="47"/>
      <c r="DM131" s="65">
        <f t="shared" si="741"/>
        <v>442.783</v>
      </c>
      <c r="DN131" s="1"/>
      <c r="DO131" s="130"/>
      <c r="DP131" s="130"/>
      <c r="DQ131" s="131"/>
    </row>
    <row r="132" outlineLevel="2">
      <c r="A132" s="15"/>
      <c r="B132" s="1" t="s">
        <v>136</v>
      </c>
      <c r="C132" s="15"/>
      <c r="D132" s="47">
        <f t="shared" si="710"/>
        <v>0</v>
      </c>
      <c r="E132" s="47">
        <f t="shared" si="711"/>
        <v>0</v>
      </c>
      <c r="F132" s="47">
        <f t="shared" si="712"/>
        <v>0</v>
      </c>
      <c r="G132" s="47">
        <f t="shared" si="713"/>
        <v>0</v>
      </c>
      <c r="H132" s="48"/>
      <c r="I132" s="66">
        <f t="shared" si="714"/>
        <v>0</v>
      </c>
      <c r="J132" s="67">
        <f t="shared" si="715"/>
        <v>0</v>
      </c>
      <c r="K132" s="66">
        <f t="shared" si="716"/>
        <v>0</v>
      </c>
      <c r="L132" s="67">
        <f t="shared" si="717"/>
        <v>0</v>
      </c>
      <c r="M132" s="66">
        <f t="shared" si="718"/>
        <v>0</v>
      </c>
      <c r="N132" s="67">
        <f t="shared" si="719"/>
        <v>0</v>
      </c>
      <c r="O132" s="48"/>
      <c r="P132" s="47">
        <f t="shared" si="720"/>
        <v>0</v>
      </c>
      <c r="Q132" s="47">
        <f t="shared" si="721"/>
        <v>0</v>
      </c>
      <c r="R132" s="47">
        <f t="shared" si="722"/>
        <v>0</v>
      </c>
      <c r="S132" s="48"/>
      <c r="T132" s="66">
        <f t="shared" si="723"/>
        <v>0</v>
      </c>
      <c r="U132" s="67">
        <f t="shared" si="724"/>
        <v>0</v>
      </c>
      <c r="V132" s="66">
        <f t="shared" si="725"/>
        <v>0</v>
      </c>
      <c r="W132" s="67">
        <f t="shared" si="726"/>
        <v>0</v>
      </c>
      <c r="X132" s="48"/>
      <c r="Y132" s="47">
        <f t="shared" si="727"/>
        <v>0</v>
      </c>
      <c r="Z132" s="47">
        <f t="shared" si="728"/>
        <v>7.01</v>
      </c>
      <c r="AA132" s="47">
        <f t="shared" si="729"/>
        <v>7.01</v>
      </c>
      <c r="AB132" s="95" t="str">
        <f t="shared" si="730"/>
        <v/>
      </c>
      <c r="AC132" s="17"/>
      <c r="AD132" s="66">
        <f t="shared" si="731"/>
        <v>7.01</v>
      </c>
      <c r="AE132" s="67">
        <f t="shared" si="732"/>
        <v>1</v>
      </c>
      <c r="AF132" s="66">
        <f t="shared" si="733"/>
        <v>0</v>
      </c>
      <c r="AG132" s="67">
        <f t="shared" si="734"/>
        <v>0</v>
      </c>
      <c r="AH132" s="117"/>
      <c r="AI132" s="47" t="str">
        <f t="shared" si="735"/>
        <v/>
      </c>
      <c r="AJ132" s="47" t="str">
        <f t="shared" ref="AJ132:AT132" si="750">IFERROR(IF(AJ$3="A",CN132,IF(AJ$3="F",DB132,IF(AJ$3="B",BL132,0))),"")</f>
        <v/>
      </c>
      <c r="AK132" s="47" t="str">
        <f t="shared" si="750"/>
        <v/>
      </c>
      <c r="AL132" s="47" t="str">
        <f t="shared" si="750"/>
        <v/>
      </c>
      <c r="AM132" s="47" t="str">
        <f t="shared" si="750"/>
        <v/>
      </c>
      <c r="AN132" s="47" t="str">
        <f t="shared" si="750"/>
        <v/>
      </c>
      <c r="AO132" s="47" t="str">
        <f t="shared" si="750"/>
        <v/>
      </c>
      <c r="AP132" s="47" t="str">
        <f t="shared" si="750"/>
        <v/>
      </c>
      <c r="AQ132" s="47" t="str">
        <f t="shared" si="750"/>
        <v/>
      </c>
      <c r="AR132" s="47">
        <f t="shared" si="750"/>
        <v>0</v>
      </c>
      <c r="AS132" s="47">
        <f t="shared" si="750"/>
        <v>0</v>
      </c>
      <c r="AT132" s="47">
        <f t="shared" si="750"/>
        <v>0</v>
      </c>
      <c r="AU132" s="65">
        <f t="shared" si="737"/>
        <v>0</v>
      </c>
      <c r="AV132" s="11"/>
      <c r="AW132" s="47" t="str">
        <f t="shared" ref="AW132:BH132" si="751">IFERROR(IF(AW$3="A",CM132,IF(AW$3="B",BK132)),0)</f>
        <v/>
      </c>
      <c r="AX132" s="47" t="str">
        <f t="shared" si="751"/>
        <v/>
      </c>
      <c r="AY132" s="47" t="str">
        <f t="shared" si="751"/>
        <v/>
      </c>
      <c r="AZ132" s="47" t="str">
        <f t="shared" si="751"/>
        <v/>
      </c>
      <c r="BA132" s="47" t="str">
        <f t="shared" si="751"/>
        <v/>
      </c>
      <c r="BB132" s="47" t="str">
        <f t="shared" si="751"/>
        <v/>
      </c>
      <c r="BC132" s="47">
        <f t="shared" si="751"/>
        <v>7.01</v>
      </c>
      <c r="BD132" s="47">
        <f t="shared" si="751"/>
        <v>0</v>
      </c>
      <c r="BE132" s="47">
        <f t="shared" si="751"/>
        <v>0</v>
      </c>
      <c r="BF132" s="47">
        <f t="shared" si="751"/>
        <v>0</v>
      </c>
      <c r="BG132" s="47">
        <f t="shared" si="751"/>
        <v>0</v>
      </c>
      <c r="BH132" s="47">
        <f t="shared" si="751"/>
        <v>0</v>
      </c>
      <c r="BI132" s="65">
        <f t="shared" si="739"/>
        <v>7.01</v>
      </c>
      <c r="BJ132" s="117"/>
      <c r="BK132" s="128">
        <v>0.0</v>
      </c>
      <c r="BL132" s="128">
        <v>0.0</v>
      </c>
      <c r="BM132" s="128">
        <v>0.0</v>
      </c>
      <c r="BN132" s="128">
        <v>0.0</v>
      </c>
      <c r="BO132" s="128">
        <v>0.0</v>
      </c>
      <c r="BP132" s="128">
        <v>0.0</v>
      </c>
      <c r="BQ132" s="128">
        <v>7.01</v>
      </c>
      <c r="BR132" s="128">
        <v>0.0</v>
      </c>
      <c r="BS132" s="128">
        <v>0.0</v>
      </c>
      <c r="BT132" s="128">
        <v>0.0</v>
      </c>
      <c r="BU132" s="128">
        <v>0.0</v>
      </c>
      <c r="BV132" s="128">
        <v>0.0</v>
      </c>
      <c r="BW132" s="129">
        <v>7.01</v>
      </c>
      <c r="BX132" s="1"/>
      <c r="BY132" s="47"/>
      <c r="BZ132" s="47"/>
      <c r="CA132" s="47"/>
      <c r="CB132" s="47"/>
      <c r="CC132" s="47"/>
      <c r="CD132" s="47"/>
      <c r="CE132" s="47"/>
      <c r="CF132" s="47"/>
      <c r="CG132" s="47"/>
      <c r="CH132" s="47"/>
      <c r="CI132" s="47"/>
      <c r="CJ132" s="47"/>
      <c r="CK132" s="65"/>
      <c r="CL132" s="47"/>
      <c r="CM132" s="47"/>
      <c r="CN132" s="47"/>
      <c r="CO132" s="47"/>
      <c r="CP132" s="47"/>
      <c r="CQ132" s="47"/>
      <c r="CR132" s="47"/>
      <c r="CS132" s="47"/>
      <c r="CT132" s="47"/>
      <c r="CU132" s="47"/>
      <c r="CV132" s="47"/>
      <c r="CW132" s="47"/>
      <c r="CX132" s="47"/>
      <c r="CY132" s="65"/>
      <c r="CZ132" s="11"/>
      <c r="DA132" s="47">
        <f t="shared" si="740"/>
        <v>0</v>
      </c>
      <c r="DB132" s="47"/>
      <c r="DC132" s="47"/>
      <c r="DD132" s="47"/>
      <c r="DE132" s="47"/>
      <c r="DF132" s="47"/>
      <c r="DG132" s="47"/>
      <c r="DH132" s="47"/>
      <c r="DI132" s="47"/>
      <c r="DJ132" s="47"/>
      <c r="DK132" s="47"/>
      <c r="DL132" s="47"/>
      <c r="DM132" s="65">
        <f t="shared" si="741"/>
        <v>0</v>
      </c>
      <c r="DN132" s="1"/>
      <c r="DO132" s="130"/>
      <c r="DP132" s="130"/>
      <c r="DQ132" s="131"/>
    </row>
    <row r="133" outlineLevel="2">
      <c r="A133" s="15"/>
      <c r="B133" s="1" t="s">
        <v>137</v>
      </c>
      <c r="C133" s="15"/>
      <c r="D133" s="47">
        <f t="shared" si="710"/>
        <v>0</v>
      </c>
      <c r="E133" s="47">
        <f t="shared" si="711"/>
        <v>0</v>
      </c>
      <c r="F133" s="47">
        <f t="shared" si="712"/>
        <v>1630.451</v>
      </c>
      <c r="G133" s="47">
        <f t="shared" si="713"/>
        <v>0</v>
      </c>
      <c r="H133" s="48"/>
      <c r="I133" s="66">
        <f t="shared" si="714"/>
        <v>0</v>
      </c>
      <c r="J133" s="67">
        <f t="shared" si="715"/>
        <v>0</v>
      </c>
      <c r="K133" s="66">
        <f t="shared" si="716"/>
        <v>1630.451</v>
      </c>
      <c r="L133" s="67">
        <f t="shared" si="717"/>
        <v>1</v>
      </c>
      <c r="M133" s="66">
        <f t="shared" si="718"/>
        <v>0</v>
      </c>
      <c r="N133" s="67">
        <f t="shared" si="719"/>
        <v>0</v>
      </c>
      <c r="O133" s="48"/>
      <c r="P133" s="47">
        <f t="shared" si="720"/>
        <v>0</v>
      </c>
      <c r="Q133" s="47">
        <f t="shared" si="721"/>
        <v>9228.805</v>
      </c>
      <c r="R133" s="47">
        <f t="shared" si="722"/>
        <v>0</v>
      </c>
      <c r="S133" s="48"/>
      <c r="T133" s="66">
        <f t="shared" si="723"/>
        <v>9228.805</v>
      </c>
      <c r="U133" s="67">
        <f t="shared" si="724"/>
        <v>1</v>
      </c>
      <c r="V133" s="66">
        <f t="shared" si="725"/>
        <v>0</v>
      </c>
      <c r="W133" s="67">
        <f t="shared" si="726"/>
        <v>0</v>
      </c>
      <c r="X133" s="48"/>
      <c r="Y133" s="47">
        <f t="shared" si="727"/>
        <v>5308.3435</v>
      </c>
      <c r="Z133" s="47">
        <f t="shared" si="728"/>
        <v>12096.1895</v>
      </c>
      <c r="AA133" s="47">
        <f t="shared" si="729"/>
        <v>21324.9945</v>
      </c>
      <c r="AB133" s="95" t="str">
        <f t="shared" si="730"/>
        <v/>
      </c>
      <c r="AC133" s="17"/>
      <c r="AD133" s="66">
        <f t="shared" si="731"/>
        <v>16016.651</v>
      </c>
      <c r="AE133" s="67">
        <f t="shared" si="732"/>
        <v>0.7510740976</v>
      </c>
      <c r="AF133" s="66">
        <f t="shared" si="733"/>
        <v>-5308.3435</v>
      </c>
      <c r="AG133" s="67">
        <f t="shared" si="734"/>
        <v>0</v>
      </c>
      <c r="AH133" s="117"/>
      <c r="AI133" s="47" t="str">
        <f t="shared" si="735"/>
        <v/>
      </c>
      <c r="AJ133" s="47" t="str">
        <f t="shared" ref="AJ133:AT133" si="752">IFERROR(IF(AJ$3="A",CN133,IF(AJ$3="F",DB133,IF(AJ$3="B",BL133,0))),"")</f>
        <v/>
      </c>
      <c r="AK133" s="47" t="str">
        <f t="shared" si="752"/>
        <v/>
      </c>
      <c r="AL133" s="47" t="str">
        <f t="shared" si="752"/>
        <v/>
      </c>
      <c r="AM133" s="47" t="str">
        <f t="shared" si="752"/>
        <v/>
      </c>
      <c r="AN133" s="47" t="str">
        <f t="shared" si="752"/>
        <v/>
      </c>
      <c r="AO133" s="47" t="str">
        <f t="shared" si="752"/>
        <v/>
      </c>
      <c r="AP133" s="47" t="str">
        <f t="shared" si="752"/>
        <v/>
      </c>
      <c r="AQ133" s="47" t="str">
        <f t="shared" si="752"/>
        <v/>
      </c>
      <c r="AR133" s="47">
        <f t="shared" si="752"/>
        <v>2673.238</v>
      </c>
      <c r="AS133" s="47">
        <f t="shared" si="752"/>
        <v>1216.8065</v>
      </c>
      <c r="AT133" s="47">
        <f t="shared" si="752"/>
        <v>1418.299</v>
      </c>
      <c r="AU133" s="65">
        <f t="shared" si="737"/>
        <v>5308.3435</v>
      </c>
      <c r="AV133" s="11"/>
      <c r="AW133" s="47" t="str">
        <f t="shared" ref="AW133:BH133" si="753">IFERROR(IF(AW$3="A",CM133,IF(AW$3="B",BK133)),0)</f>
        <v/>
      </c>
      <c r="AX133" s="47" t="str">
        <f t="shared" si="753"/>
        <v/>
      </c>
      <c r="AY133" s="47" t="str">
        <f t="shared" si="753"/>
        <v/>
      </c>
      <c r="AZ133" s="47" t="str">
        <f t="shared" si="753"/>
        <v/>
      </c>
      <c r="BA133" s="47" t="str">
        <f t="shared" si="753"/>
        <v/>
      </c>
      <c r="BB133" s="47" t="str">
        <f t="shared" si="753"/>
        <v/>
      </c>
      <c r="BC133" s="47">
        <f t="shared" si="753"/>
        <v>2325.823</v>
      </c>
      <c r="BD133" s="47">
        <f t="shared" si="753"/>
        <v>1781.858</v>
      </c>
      <c r="BE133" s="47">
        <f t="shared" si="753"/>
        <v>2680.165</v>
      </c>
      <c r="BF133" s="47">
        <f t="shared" si="753"/>
        <v>2673.238</v>
      </c>
      <c r="BG133" s="47">
        <f t="shared" si="753"/>
        <v>1216.8065</v>
      </c>
      <c r="BH133" s="47">
        <f t="shared" si="753"/>
        <v>1418.299</v>
      </c>
      <c r="BI133" s="65">
        <f t="shared" si="739"/>
        <v>12096.1895</v>
      </c>
      <c r="BJ133" s="117"/>
      <c r="BK133" s="128">
        <v>1406.45</v>
      </c>
      <c r="BL133" s="128">
        <v>1713.199</v>
      </c>
      <c r="BM133" s="128">
        <v>930.495</v>
      </c>
      <c r="BN133" s="128">
        <v>1722.07</v>
      </c>
      <c r="BO133" s="128">
        <v>1826.14</v>
      </c>
      <c r="BP133" s="128">
        <v>1630.451</v>
      </c>
      <c r="BQ133" s="128">
        <v>2325.823</v>
      </c>
      <c r="BR133" s="128">
        <v>1781.858</v>
      </c>
      <c r="BS133" s="128">
        <v>2680.165</v>
      </c>
      <c r="BT133" s="128">
        <v>2673.238</v>
      </c>
      <c r="BU133" s="128">
        <v>1216.8065</v>
      </c>
      <c r="BV133" s="128">
        <v>1418.299</v>
      </c>
      <c r="BW133" s="129">
        <v>21324.9945</v>
      </c>
      <c r="BX133" s="1"/>
      <c r="BY133" s="47"/>
      <c r="BZ133" s="47"/>
      <c r="CA133" s="47"/>
      <c r="CB133" s="47"/>
      <c r="CC133" s="47"/>
      <c r="CD133" s="47"/>
      <c r="CE133" s="47"/>
      <c r="CF133" s="47"/>
      <c r="CG133" s="47"/>
      <c r="CH133" s="47"/>
      <c r="CI133" s="47"/>
      <c r="CJ133" s="47"/>
      <c r="CK133" s="65"/>
      <c r="CL133" s="47"/>
      <c r="CM133" s="47"/>
      <c r="CN133" s="47"/>
      <c r="CO133" s="47"/>
      <c r="CP133" s="47"/>
      <c r="CQ133" s="47"/>
      <c r="CR133" s="47"/>
      <c r="CS133" s="47"/>
      <c r="CT133" s="47"/>
      <c r="CU133" s="47"/>
      <c r="CV133" s="47"/>
      <c r="CW133" s="47"/>
      <c r="CX133" s="47"/>
      <c r="CY133" s="65"/>
      <c r="CZ133" s="11"/>
      <c r="DA133" s="47">
        <f t="shared" si="740"/>
        <v>1406.45</v>
      </c>
      <c r="DB133" s="47"/>
      <c r="DC133" s="47"/>
      <c r="DD133" s="47"/>
      <c r="DE133" s="47"/>
      <c r="DF133" s="47"/>
      <c r="DG133" s="47"/>
      <c r="DH133" s="47"/>
      <c r="DI133" s="47"/>
      <c r="DJ133" s="47"/>
      <c r="DK133" s="47"/>
      <c r="DL133" s="47"/>
      <c r="DM133" s="65">
        <f t="shared" si="741"/>
        <v>1406.45</v>
      </c>
      <c r="DN133" s="1"/>
      <c r="DO133" s="130"/>
      <c r="DP133" s="130"/>
      <c r="DQ133" s="131"/>
    </row>
    <row r="134" outlineLevel="2">
      <c r="A134" s="15"/>
      <c r="B134" s="1" t="s">
        <v>138</v>
      </c>
      <c r="C134" s="15"/>
      <c r="D134" s="47">
        <f t="shared" si="710"/>
        <v>0</v>
      </c>
      <c r="E134" s="47">
        <f t="shared" si="711"/>
        <v>0</v>
      </c>
      <c r="F134" s="47">
        <f t="shared" si="712"/>
        <v>6537.1429</v>
      </c>
      <c r="G134" s="47">
        <f t="shared" si="713"/>
        <v>0</v>
      </c>
      <c r="H134" s="48"/>
      <c r="I134" s="66">
        <f t="shared" si="714"/>
        <v>0</v>
      </c>
      <c r="J134" s="67">
        <f t="shared" si="715"/>
        <v>0</v>
      </c>
      <c r="K134" s="66">
        <f t="shared" si="716"/>
        <v>6537.1429</v>
      </c>
      <c r="L134" s="67">
        <f t="shared" si="717"/>
        <v>1</v>
      </c>
      <c r="M134" s="66">
        <f t="shared" si="718"/>
        <v>0</v>
      </c>
      <c r="N134" s="67">
        <f t="shared" si="719"/>
        <v>0</v>
      </c>
      <c r="O134" s="48"/>
      <c r="P134" s="47">
        <f t="shared" si="720"/>
        <v>0</v>
      </c>
      <c r="Q134" s="47">
        <f t="shared" si="721"/>
        <v>32721.9704</v>
      </c>
      <c r="R134" s="47">
        <f t="shared" si="722"/>
        <v>0</v>
      </c>
      <c r="S134" s="48"/>
      <c r="T134" s="66">
        <f t="shared" si="723"/>
        <v>32721.9704</v>
      </c>
      <c r="U134" s="67">
        <f t="shared" si="724"/>
        <v>1</v>
      </c>
      <c r="V134" s="66">
        <f t="shared" si="725"/>
        <v>0</v>
      </c>
      <c r="W134" s="67">
        <f t="shared" si="726"/>
        <v>0</v>
      </c>
      <c r="X134" s="48"/>
      <c r="Y134" s="47">
        <f t="shared" si="727"/>
        <v>18135.4734</v>
      </c>
      <c r="Z134" s="47">
        <f t="shared" si="728"/>
        <v>47053.4396</v>
      </c>
      <c r="AA134" s="47">
        <f t="shared" si="729"/>
        <v>79775.4101</v>
      </c>
      <c r="AB134" s="95" t="str">
        <f t="shared" si="730"/>
        <v/>
      </c>
      <c r="AC134" s="17"/>
      <c r="AD134" s="66">
        <f t="shared" si="731"/>
        <v>61639.9367</v>
      </c>
      <c r="AE134" s="67">
        <f t="shared" si="732"/>
        <v>0.7726683777</v>
      </c>
      <c r="AF134" s="66">
        <f t="shared" si="733"/>
        <v>-18135.4734</v>
      </c>
      <c r="AG134" s="67">
        <f t="shared" si="734"/>
        <v>0</v>
      </c>
      <c r="AH134" s="117"/>
      <c r="AI134" s="47" t="str">
        <f t="shared" si="735"/>
        <v/>
      </c>
      <c r="AJ134" s="47" t="str">
        <f t="shared" ref="AJ134:AT134" si="754">IFERROR(IF(AJ$3="A",CN134,IF(AJ$3="F",DB134,IF(AJ$3="B",BL134,0))),"")</f>
        <v/>
      </c>
      <c r="AK134" s="47" t="str">
        <f t="shared" si="754"/>
        <v/>
      </c>
      <c r="AL134" s="47" t="str">
        <f t="shared" si="754"/>
        <v/>
      </c>
      <c r="AM134" s="47" t="str">
        <f t="shared" si="754"/>
        <v/>
      </c>
      <c r="AN134" s="47" t="str">
        <f t="shared" si="754"/>
        <v/>
      </c>
      <c r="AO134" s="47" t="str">
        <f t="shared" si="754"/>
        <v/>
      </c>
      <c r="AP134" s="47" t="str">
        <f t="shared" si="754"/>
        <v/>
      </c>
      <c r="AQ134" s="47" t="str">
        <f t="shared" si="754"/>
        <v/>
      </c>
      <c r="AR134" s="47">
        <f t="shared" si="754"/>
        <v>8547.5852</v>
      </c>
      <c r="AS134" s="47">
        <f t="shared" si="754"/>
        <v>4450</v>
      </c>
      <c r="AT134" s="47">
        <f t="shared" si="754"/>
        <v>5137.8882</v>
      </c>
      <c r="AU134" s="65">
        <f t="shared" si="737"/>
        <v>18135.4734</v>
      </c>
      <c r="AV134" s="11"/>
      <c r="AW134" s="47" t="str">
        <f t="shared" ref="AW134:BH134" si="755">IFERROR(IF(AW$3="A",CM134,IF(AW$3="B",BK134)),0)</f>
        <v/>
      </c>
      <c r="AX134" s="47" t="str">
        <f t="shared" si="755"/>
        <v/>
      </c>
      <c r="AY134" s="47" t="str">
        <f t="shared" si="755"/>
        <v/>
      </c>
      <c r="AZ134" s="47" t="str">
        <f t="shared" si="755"/>
        <v/>
      </c>
      <c r="BA134" s="47" t="str">
        <f t="shared" si="755"/>
        <v/>
      </c>
      <c r="BB134" s="47" t="str">
        <f t="shared" si="755"/>
        <v/>
      </c>
      <c r="BC134" s="47">
        <f t="shared" si="755"/>
        <v>10540.1739</v>
      </c>
      <c r="BD134" s="47">
        <f t="shared" si="755"/>
        <v>9767.3885</v>
      </c>
      <c r="BE134" s="47">
        <f t="shared" si="755"/>
        <v>8610.4038</v>
      </c>
      <c r="BF134" s="47">
        <f t="shared" si="755"/>
        <v>8547.5852</v>
      </c>
      <c r="BG134" s="47">
        <f t="shared" si="755"/>
        <v>4450</v>
      </c>
      <c r="BH134" s="47">
        <f t="shared" si="755"/>
        <v>5137.8882</v>
      </c>
      <c r="BI134" s="65">
        <f t="shared" si="739"/>
        <v>47053.4396</v>
      </c>
      <c r="BJ134" s="117"/>
      <c r="BK134" s="128">
        <v>6075.7021</v>
      </c>
      <c r="BL134" s="128">
        <v>6027.0</v>
      </c>
      <c r="BM134" s="128">
        <v>4041.2707</v>
      </c>
      <c r="BN134" s="128">
        <v>4800.8547</v>
      </c>
      <c r="BO134" s="128">
        <v>5240.0</v>
      </c>
      <c r="BP134" s="128">
        <v>6537.1429</v>
      </c>
      <c r="BQ134" s="128">
        <v>10540.1739</v>
      </c>
      <c r="BR134" s="128">
        <v>9767.3885</v>
      </c>
      <c r="BS134" s="128">
        <v>8610.4038</v>
      </c>
      <c r="BT134" s="128">
        <v>8547.5852</v>
      </c>
      <c r="BU134" s="128">
        <v>4450.0</v>
      </c>
      <c r="BV134" s="128">
        <v>5137.8882</v>
      </c>
      <c r="BW134" s="129">
        <v>79775.4101</v>
      </c>
      <c r="BX134" s="1"/>
      <c r="BY134" s="47"/>
      <c r="BZ134" s="47"/>
      <c r="CA134" s="47"/>
      <c r="CB134" s="47"/>
      <c r="CC134" s="47"/>
      <c r="CD134" s="47"/>
      <c r="CE134" s="47"/>
      <c r="CF134" s="47"/>
      <c r="CG134" s="47"/>
      <c r="CH134" s="47"/>
      <c r="CI134" s="47"/>
      <c r="CJ134" s="47"/>
      <c r="CK134" s="65"/>
      <c r="CL134" s="47"/>
      <c r="CM134" s="47"/>
      <c r="CN134" s="47"/>
      <c r="CO134" s="47"/>
      <c r="CP134" s="47"/>
      <c r="CQ134" s="47"/>
      <c r="CR134" s="47"/>
      <c r="CS134" s="47"/>
      <c r="CT134" s="47"/>
      <c r="CU134" s="47"/>
      <c r="CV134" s="47"/>
      <c r="CW134" s="47"/>
      <c r="CX134" s="47"/>
      <c r="CY134" s="65"/>
      <c r="CZ134" s="11"/>
      <c r="DA134" s="47">
        <f t="shared" si="740"/>
        <v>6075.7021</v>
      </c>
      <c r="DB134" s="47"/>
      <c r="DC134" s="47"/>
      <c r="DD134" s="47"/>
      <c r="DE134" s="47"/>
      <c r="DF134" s="47"/>
      <c r="DG134" s="47"/>
      <c r="DH134" s="47"/>
      <c r="DI134" s="47"/>
      <c r="DJ134" s="47"/>
      <c r="DK134" s="47"/>
      <c r="DL134" s="47"/>
      <c r="DM134" s="65">
        <f t="shared" si="741"/>
        <v>6075.7021</v>
      </c>
      <c r="DN134" s="1"/>
      <c r="DO134" s="130"/>
      <c r="DP134" s="130"/>
      <c r="DQ134" s="131"/>
    </row>
    <row r="135" outlineLevel="1">
      <c r="A135" s="15"/>
      <c r="B135" s="207" t="s">
        <v>139</v>
      </c>
      <c r="C135" s="208"/>
      <c r="D135" s="157">
        <f t="shared" ref="D135:G135" si="756">SUM(D126:D134)</f>
        <v>0</v>
      </c>
      <c r="E135" s="157">
        <f t="shared" si="756"/>
        <v>0</v>
      </c>
      <c r="F135" s="157">
        <f t="shared" si="756"/>
        <v>29715.9429</v>
      </c>
      <c r="G135" s="157">
        <f t="shared" si="756"/>
        <v>0</v>
      </c>
      <c r="H135" s="17"/>
      <c r="I135" s="75">
        <f t="shared" si="714"/>
        <v>0</v>
      </c>
      <c r="J135" s="60">
        <f t="shared" si="715"/>
        <v>0</v>
      </c>
      <c r="K135" s="75">
        <f t="shared" si="716"/>
        <v>29715.9429</v>
      </c>
      <c r="L135" s="60">
        <f t="shared" si="717"/>
        <v>1</v>
      </c>
      <c r="M135" s="75">
        <f t="shared" si="718"/>
        <v>0</v>
      </c>
      <c r="N135" s="60">
        <f t="shared" si="719"/>
        <v>0</v>
      </c>
      <c r="O135" s="17"/>
      <c r="P135" s="157">
        <f t="shared" ref="P135:R135" si="757">SUM(P126:P134)</f>
        <v>0</v>
      </c>
      <c r="Q135" s="157">
        <f t="shared" si="757"/>
        <v>161590.9454</v>
      </c>
      <c r="R135" s="157">
        <f t="shared" si="757"/>
        <v>0</v>
      </c>
      <c r="S135" s="17"/>
      <c r="T135" s="75">
        <f t="shared" si="723"/>
        <v>161590.9454</v>
      </c>
      <c r="U135" s="60">
        <f t="shared" si="724"/>
        <v>1</v>
      </c>
      <c r="V135" s="75">
        <f t="shared" si="725"/>
        <v>0</v>
      </c>
      <c r="W135" s="60">
        <f t="shared" si="726"/>
        <v>0</v>
      </c>
      <c r="X135" s="17"/>
      <c r="Y135" s="157">
        <f t="shared" ref="Y135:AB135" si="758">SUM(Y126:Y134)</f>
        <v>81097.4444</v>
      </c>
      <c r="Z135" s="157">
        <f t="shared" si="758"/>
        <v>197344.4956</v>
      </c>
      <c r="AA135" s="157">
        <f t="shared" si="758"/>
        <v>358935.4411</v>
      </c>
      <c r="AB135" s="157">
        <f t="shared" si="758"/>
        <v>0</v>
      </c>
      <c r="AC135" s="17"/>
      <c r="AD135" s="75">
        <f t="shared" si="731"/>
        <v>277837.9967</v>
      </c>
      <c r="AE135" s="60">
        <f t="shared" si="732"/>
        <v>0.7740611957</v>
      </c>
      <c r="AF135" s="75">
        <f t="shared" si="733"/>
        <v>-81097.4444</v>
      </c>
      <c r="AG135" s="60">
        <f t="shared" si="734"/>
        <v>0</v>
      </c>
      <c r="AH135" s="119"/>
      <c r="AI135" s="157">
        <f t="shared" ref="AI135:AU135" si="759">SUM(AI126:AI134)</f>
        <v>0</v>
      </c>
      <c r="AJ135" s="157">
        <f t="shared" si="759"/>
        <v>0</v>
      </c>
      <c r="AK135" s="157">
        <f t="shared" si="759"/>
        <v>0</v>
      </c>
      <c r="AL135" s="157">
        <f t="shared" si="759"/>
        <v>0</v>
      </c>
      <c r="AM135" s="157">
        <f t="shared" si="759"/>
        <v>0</v>
      </c>
      <c r="AN135" s="157">
        <f t="shared" si="759"/>
        <v>0</v>
      </c>
      <c r="AO135" s="157">
        <f t="shared" si="759"/>
        <v>0</v>
      </c>
      <c r="AP135" s="157">
        <f t="shared" si="759"/>
        <v>0</v>
      </c>
      <c r="AQ135" s="157">
        <f t="shared" si="759"/>
        <v>0</v>
      </c>
      <c r="AR135" s="157">
        <f t="shared" si="759"/>
        <v>37164.0252</v>
      </c>
      <c r="AS135" s="157">
        <f t="shared" si="759"/>
        <v>20222.736</v>
      </c>
      <c r="AT135" s="157">
        <f t="shared" si="759"/>
        <v>23710.6832</v>
      </c>
      <c r="AU135" s="157">
        <f t="shared" si="759"/>
        <v>81097.4444</v>
      </c>
      <c r="AV135" s="11"/>
      <c r="AW135" s="157">
        <f t="shared" ref="AW135:BI135" si="760">SUM(AW126:AW134)</f>
        <v>0</v>
      </c>
      <c r="AX135" s="157">
        <f t="shared" si="760"/>
        <v>0</v>
      </c>
      <c r="AY135" s="157">
        <f t="shared" si="760"/>
        <v>0</v>
      </c>
      <c r="AZ135" s="157">
        <f t="shared" si="760"/>
        <v>0</v>
      </c>
      <c r="BA135" s="157">
        <f t="shared" si="760"/>
        <v>0</v>
      </c>
      <c r="BB135" s="157">
        <f t="shared" si="760"/>
        <v>0</v>
      </c>
      <c r="BC135" s="157">
        <f t="shared" si="760"/>
        <v>40882.6369</v>
      </c>
      <c r="BD135" s="157">
        <f t="shared" si="760"/>
        <v>38149.0625</v>
      </c>
      <c r="BE135" s="157">
        <f t="shared" si="760"/>
        <v>37215.3518</v>
      </c>
      <c r="BF135" s="157">
        <f t="shared" si="760"/>
        <v>37164.0252</v>
      </c>
      <c r="BG135" s="157">
        <f t="shared" si="760"/>
        <v>20222.736</v>
      </c>
      <c r="BH135" s="157">
        <f t="shared" si="760"/>
        <v>23710.6832</v>
      </c>
      <c r="BI135" s="157">
        <f t="shared" si="760"/>
        <v>197344.4956</v>
      </c>
      <c r="BJ135" s="119"/>
      <c r="BK135" s="158">
        <v>27273.9541</v>
      </c>
      <c r="BL135" s="158">
        <v>31704.756</v>
      </c>
      <c r="BM135" s="158">
        <v>19417.3387</v>
      </c>
      <c r="BN135" s="158">
        <v>25580.0637</v>
      </c>
      <c r="BO135" s="158">
        <v>27898.89</v>
      </c>
      <c r="BP135" s="158">
        <v>29715.9429</v>
      </c>
      <c r="BQ135" s="158">
        <v>40882.6369</v>
      </c>
      <c r="BR135" s="158">
        <v>38149.0625</v>
      </c>
      <c r="BS135" s="158">
        <v>37215.3518</v>
      </c>
      <c r="BT135" s="158">
        <v>37164.0252</v>
      </c>
      <c r="BU135" s="158">
        <v>20222.736</v>
      </c>
      <c r="BV135" s="158">
        <v>23710.6832</v>
      </c>
      <c r="BW135" s="158">
        <v>358935.4411</v>
      </c>
      <c r="BX135" s="58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  <c r="CK135" s="157"/>
      <c r="CL135" s="159"/>
      <c r="CM135" s="157"/>
      <c r="CN135" s="157"/>
      <c r="CO135" s="157"/>
      <c r="CP135" s="157"/>
      <c r="CQ135" s="157"/>
      <c r="CR135" s="157"/>
      <c r="CS135" s="157"/>
      <c r="CT135" s="157"/>
      <c r="CU135" s="157"/>
      <c r="CV135" s="157"/>
      <c r="CW135" s="157"/>
      <c r="CX135" s="157"/>
      <c r="CY135" s="157"/>
      <c r="CZ135" s="47"/>
      <c r="DA135" s="157">
        <f>SUM(DA126:DA134)</f>
        <v>27273.9541</v>
      </c>
      <c r="DB135" s="157"/>
      <c r="DC135" s="157"/>
      <c r="DD135" s="157"/>
      <c r="DE135" s="157"/>
      <c r="DF135" s="157"/>
      <c r="DG135" s="157"/>
      <c r="DH135" s="157"/>
      <c r="DI135" s="157"/>
      <c r="DJ135" s="157"/>
      <c r="DK135" s="157"/>
      <c r="DL135" s="157"/>
      <c r="DM135" s="157">
        <f>SUM(DM126:DM134)</f>
        <v>27273.9541</v>
      </c>
      <c r="DN135" s="58"/>
      <c r="DO135" s="160"/>
      <c r="DP135" s="160"/>
      <c r="DQ135" s="131"/>
    </row>
    <row r="136" outlineLevel="1">
      <c r="A136" s="15"/>
      <c r="B136" s="124"/>
      <c r="C136" s="124"/>
      <c r="D136" s="125"/>
      <c r="E136" s="125"/>
      <c r="F136" s="125"/>
      <c r="G136" s="125"/>
      <c r="H136" s="125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6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161"/>
      <c r="AV136" s="12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161"/>
      <c r="BJ136" s="126"/>
      <c r="BK136" s="47"/>
      <c r="BL136" s="47"/>
      <c r="BM136" s="47"/>
      <c r="BN136" s="47"/>
      <c r="BO136" s="47"/>
      <c r="BP136" s="47"/>
      <c r="BQ136" s="47"/>
      <c r="BR136" s="47"/>
      <c r="BS136" s="47"/>
      <c r="BT136" s="47"/>
      <c r="BU136" s="47"/>
      <c r="BV136" s="47"/>
      <c r="BW136" s="161"/>
      <c r="BX136" s="1"/>
      <c r="BY136" s="47"/>
      <c r="BZ136" s="47"/>
      <c r="CA136" s="47"/>
      <c r="CB136" s="47"/>
      <c r="CC136" s="47"/>
      <c r="CD136" s="47"/>
      <c r="CE136" s="47"/>
      <c r="CF136" s="47"/>
      <c r="CG136" s="47"/>
      <c r="CH136" s="47"/>
      <c r="CI136" s="47"/>
      <c r="CJ136" s="47"/>
      <c r="CK136" s="161"/>
      <c r="CL136" s="47"/>
      <c r="CM136" s="47"/>
      <c r="CN136" s="47"/>
      <c r="CO136" s="47"/>
      <c r="CP136" s="47"/>
      <c r="CQ136" s="47"/>
      <c r="CR136" s="47"/>
      <c r="CS136" s="47"/>
      <c r="CT136" s="47"/>
      <c r="CU136" s="47"/>
      <c r="CV136" s="47"/>
      <c r="CW136" s="47"/>
      <c r="CX136" s="47"/>
      <c r="CY136" s="161"/>
      <c r="CZ136" s="11"/>
      <c r="DA136" s="95"/>
      <c r="DB136" s="95"/>
      <c r="DC136" s="95"/>
      <c r="DD136" s="95"/>
      <c r="DE136" s="95"/>
      <c r="DF136" s="95"/>
      <c r="DG136" s="95"/>
      <c r="DH136" s="95"/>
      <c r="DI136" s="95"/>
      <c r="DJ136" s="95"/>
      <c r="DK136" s="95"/>
      <c r="DL136" s="95"/>
      <c r="DM136" s="162"/>
      <c r="DN136" s="1"/>
      <c r="DO136" s="163"/>
      <c r="DP136" s="163"/>
      <c r="DQ136" s="131"/>
    </row>
    <row r="137" outlineLevel="1">
      <c r="A137" s="15"/>
      <c r="B137" s="209" t="s">
        <v>140</v>
      </c>
      <c r="C137" s="210"/>
      <c r="D137" s="211"/>
      <c r="E137" s="211"/>
      <c r="F137" s="211"/>
      <c r="G137" s="211"/>
      <c r="H137" s="211"/>
      <c r="I137" s="211"/>
      <c r="J137" s="211"/>
      <c r="K137" s="211"/>
      <c r="L137" s="211"/>
      <c r="M137" s="211"/>
      <c r="N137" s="211"/>
      <c r="O137" s="211"/>
      <c r="P137" s="211"/>
      <c r="Q137" s="211"/>
      <c r="R137" s="211"/>
      <c r="S137" s="212"/>
      <c r="T137" s="212"/>
      <c r="U137" s="212"/>
      <c r="V137" s="212"/>
      <c r="W137" s="212"/>
      <c r="X137" s="212"/>
      <c r="Y137" s="212"/>
      <c r="Z137" s="212"/>
      <c r="AA137" s="211"/>
      <c r="AB137" s="212"/>
      <c r="AC137" s="212"/>
      <c r="AD137" s="212"/>
      <c r="AE137" s="212"/>
      <c r="AF137" s="212"/>
      <c r="AG137" s="212"/>
      <c r="AH137" s="213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214"/>
      <c r="AV137" s="214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214"/>
      <c r="BJ137" s="215"/>
      <c r="BK137" s="47"/>
      <c r="BL137" s="47"/>
      <c r="BM137" s="47"/>
      <c r="BN137" s="47"/>
      <c r="BO137" s="47"/>
      <c r="BP137" s="47"/>
      <c r="BQ137" s="47"/>
      <c r="BR137" s="47"/>
      <c r="BS137" s="47"/>
      <c r="BT137" s="47"/>
      <c r="BU137" s="47"/>
      <c r="BV137" s="47"/>
      <c r="BW137" s="214"/>
      <c r="BX137" s="1"/>
      <c r="BY137" s="47"/>
      <c r="BZ137" s="47"/>
      <c r="CA137" s="47"/>
      <c r="CB137" s="47"/>
      <c r="CC137" s="47"/>
      <c r="CD137" s="47"/>
      <c r="CE137" s="47"/>
      <c r="CF137" s="47"/>
      <c r="CG137" s="47"/>
      <c r="CH137" s="47"/>
      <c r="CI137" s="47"/>
      <c r="CJ137" s="47"/>
      <c r="CK137" s="214"/>
      <c r="CL137" s="47"/>
      <c r="CM137" s="47"/>
      <c r="CN137" s="47"/>
      <c r="CO137" s="47"/>
      <c r="CP137" s="47"/>
      <c r="CQ137" s="47"/>
      <c r="CR137" s="47"/>
      <c r="CS137" s="47"/>
      <c r="CT137" s="47"/>
      <c r="CU137" s="47"/>
      <c r="CV137" s="47"/>
      <c r="CW137" s="47"/>
      <c r="CX137" s="47"/>
      <c r="CY137" s="214"/>
      <c r="CZ137" s="11"/>
      <c r="DA137" s="95"/>
      <c r="DB137" s="95"/>
      <c r="DC137" s="95"/>
      <c r="DD137" s="95"/>
      <c r="DE137" s="95"/>
      <c r="DF137" s="95"/>
      <c r="DG137" s="95"/>
      <c r="DH137" s="95"/>
      <c r="DI137" s="95"/>
      <c r="DJ137" s="95"/>
      <c r="DK137" s="95"/>
      <c r="DL137" s="95"/>
      <c r="DM137" s="212"/>
      <c r="DN137" s="1"/>
      <c r="DO137" s="163"/>
      <c r="DP137" s="163"/>
      <c r="DQ137" s="131"/>
    </row>
    <row r="138" outlineLevel="2">
      <c r="A138" s="15"/>
      <c r="B138" s="1" t="s">
        <v>107</v>
      </c>
      <c r="C138" s="15"/>
      <c r="D138" s="216">
        <f t="shared" ref="D138:G138" si="761">IFERROR(D126/D$48,0)</f>
        <v>0</v>
      </c>
      <c r="E138" s="216">
        <f t="shared" si="761"/>
        <v>0</v>
      </c>
      <c r="F138" s="216">
        <f t="shared" si="761"/>
        <v>20.60751157</v>
      </c>
      <c r="G138" s="216">
        <f t="shared" si="761"/>
        <v>0</v>
      </c>
      <c r="H138" s="217"/>
      <c r="I138" s="218">
        <f t="shared" ref="I138:I147" si="767">E138-D138</f>
        <v>0</v>
      </c>
      <c r="J138" s="177">
        <f t="shared" ref="J138:J147" si="768">IFERROR(I138/ABS(E138),0)</f>
        <v>0</v>
      </c>
      <c r="K138" s="218">
        <f t="shared" ref="K138:K147" si="769">F138-D138</f>
        <v>20.60751157</v>
      </c>
      <c r="L138" s="177">
        <f t="shared" ref="L138:L147" si="770">IFERROR(K138/ABS(F138),0)</f>
        <v>1</v>
      </c>
      <c r="M138" s="218">
        <f t="shared" ref="M138:M147" si="771">G138-D138</f>
        <v>0</v>
      </c>
      <c r="N138" s="177">
        <f t="shared" ref="N138:N147" si="772">IFERROR(M138/ABS(G138),0)</f>
        <v>0</v>
      </c>
      <c r="O138" s="217"/>
      <c r="P138" s="216">
        <f t="shared" ref="P138:R138" si="762">IFERROR(P126/P$48,0)</f>
        <v>0</v>
      </c>
      <c r="Q138" s="216">
        <f t="shared" si="762"/>
        <v>23.49433668</v>
      </c>
      <c r="R138" s="216">
        <f t="shared" si="762"/>
        <v>0</v>
      </c>
      <c r="S138" s="217"/>
      <c r="T138" s="218">
        <f t="shared" ref="T138:T147" si="774">Q138-P138</f>
        <v>23.49433668</v>
      </c>
      <c r="U138" s="67">
        <f t="shared" ref="U138:U147" si="775">IFERROR(T138/ABS(Q138),0)</f>
        <v>1</v>
      </c>
      <c r="V138" s="190">
        <f t="shared" ref="V138:V147" si="776">R138-P138</f>
        <v>0</v>
      </c>
      <c r="W138" s="67">
        <f t="shared" ref="W138:W147" si="777">IFERROR(V138/ABS(R138),0)</f>
        <v>0</v>
      </c>
      <c r="X138" s="17"/>
      <c r="Y138" s="139">
        <f t="shared" ref="Y138:AB138" si="763">IFERROR(Y126/Y$48,0)</f>
        <v>20.02625694</v>
      </c>
      <c r="Z138" s="139">
        <f t="shared" si="763"/>
        <v>18.3842106</v>
      </c>
      <c r="AA138" s="216">
        <f t="shared" si="763"/>
        <v>20.48026192</v>
      </c>
      <c r="AB138" s="139">
        <f t="shared" si="763"/>
        <v>0</v>
      </c>
      <c r="AC138" s="17"/>
      <c r="AD138" s="190">
        <f t="shared" ref="AD138:AD147" si="779">AA138-Y138</f>
        <v>0.4540049808</v>
      </c>
      <c r="AE138" s="67">
        <f t="shared" ref="AE138:AE147" si="780">IFERROR(AD138/ABS(AA138),0)</f>
        <v>0.02216792844</v>
      </c>
      <c r="AF138" s="190">
        <f t="shared" ref="AF138:AF147" si="781">AB138-Y138</f>
        <v>-20.02625694</v>
      </c>
      <c r="AG138" s="67">
        <f t="shared" ref="AG138:AG147" si="782">IFERROR(AF138/ABS(AB138),0)</f>
        <v>0</v>
      </c>
      <c r="AH138" s="117"/>
      <c r="AI138" s="139">
        <f t="shared" ref="AI138:AU138" si="764">IFERROR(AI126/AI$48,0)</f>
        <v>0</v>
      </c>
      <c r="AJ138" s="139">
        <f t="shared" si="764"/>
        <v>0</v>
      </c>
      <c r="AK138" s="139">
        <f t="shared" si="764"/>
        <v>0</v>
      </c>
      <c r="AL138" s="139">
        <f t="shared" si="764"/>
        <v>0</v>
      </c>
      <c r="AM138" s="139">
        <f t="shared" si="764"/>
        <v>0</v>
      </c>
      <c r="AN138" s="139">
        <f t="shared" si="764"/>
        <v>0</v>
      </c>
      <c r="AO138" s="139">
        <f t="shared" si="764"/>
        <v>0</v>
      </c>
      <c r="AP138" s="139">
        <f t="shared" si="764"/>
        <v>0</v>
      </c>
      <c r="AQ138" s="139">
        <f t="shared" si="764"/>
        <v>0</v>
      </c>
      <c r="AR138" s="139">
        <f t="shared" si="764"/>
        <v>18.52882305</v>
      </c>
      <c r="AS138" s="139">
        <f t="shared" si="764"/>
        <v>21.25262067</v>
      </c>
      <c r="AT138" s="139">
        <f t="shared" si="764"/>
        <v>21.45527306</v>
      </c>
      <c r="AU138" s="140">
        <f t="shared" si="764"/>
        <v>20.02625694</v>
      </c>
      <c r="AV138" s="11"/>
      <c r="AW138" s="139">
        <f t="shared" ref="AW138:BI138" si="765">IFERROR(AW126/AW$48,0)</f>
        <v>0</v>
      </c>
      <c r="AX138" s="139">
        <f t="shared" si="765"/>
        <v>0</v>
      </c>
      <c r="AY138" s="139">
        <f t="shared" si="765"/>
        <v>0</v>
      </c>
      <c r="AZ138" s="139">
        <f t="shared" si="765"/>
        <v>0</v>
      </c>
      <c r="BA138" s="139">
        <f t="shared" si="765"/>
        <v>0</v>
      </c>
      <c r="BB138" s="139">
        <f t="shared" si="765"/>
        <v>0</v>
      </c>
      <c r="BC138" s="139">
        <f t="shared" si="765"/>
        <v>16.99062463</v>
      </c>
      <c r="BD138" s="139">
        <f t="shared" si="765"/>
        <v>16.7914554</v>
      </c>
      <c r="BE138" s="139">
        <f t="shared" si="765"/>
        <v>18.43837873</v>
      </c>
      <c r="BF138" s="139">
        <f t="shared" si="765"/>
        <v>18.52882305</v>
      </c>
      <c r="BG138" s="139">
        <f t="shared" si="765"/>
        <v>21.25262067</v>
      </c>
      <c r="BH138" s="139">
        <f t="shared" si="765"/>
        <v>21.45527306</v>
      </c>
      <c r="BI138" s="140">
        <f t="shared" si="765"/>
        <v>18.3842106</v>
      </c>
      <c r="BJ138" s="117"/>
      <c r="BK138" s="141">
        <v>22.4897</v>
      </c>
      <c r="BL138" s="141">
        <v>25.975</v>
      </c>
      <c r="BM138" s="141">
        <v>23.5516</v>
      </c>
      <c r="BN138" s="141">
        <v>24.0</v>
      </c>
      <c r="BO138" s="141">
        <v>24.9</v>
      </c>
      <c r="BP138" s="141">
        <v>20.6075</v>
      </c>
      <c r="BQ138" s="141">
        <v>16.9906</v>
      </c>
      <c r="BR138" s="141">
        <v>16.7915</v>
      </c>
      <c r="BS138" s="141">
        <v>18.4384</v>
      </c>
      <c r="BT138" s="141">
        <v>18.5288</v>
      </c>
      <c r="BU138" s="141">
        <v>21.2526</v>
      </c>
      <c r="BV138" s="141">
        <v>21.4553</v>
      </c>
      <c r="BW138" s="142">
        <v>20.4803</v>
      </c>
      <c r="BX138" s="1"/>
      <c r="BY138" s="139"/>
      <c r="BZ138" s="139"/>
      <c r="CA138" s="139"/>
      <c r="CB138" s="139"/>
      <c r="CC138" s="139"/>
      <c r="CD138" s="139"/>
      <c r="CE138" s="139"/>
      <c r="CF138" s="139"/>
      <c r="CG138" s="139"/>
      <c r="CH138" s="139"/>
      <c r="CI138" s="139"/>
      <c r="CJ138" s="139"/>
      <c r="CK138" s="140"/>
      <c r="CL138" s="139"/>
      <c r="CM138" s="139"/>
      <c r="CN138" s="139"/>
      <c r="CO138" s="139"/>
      <c r="CP138" s="139"/>
      <c r="CQ138" s="139"/>
      <c r="CR138" s="139"/>
      <c r="CS138" s="139"/>
      <c r="CT138" s="139"/>
      <c r="CU138" s="139"/>
      <c r="CV138" s="139"/>
      <c r="CW138" s="139"/>
      <c r="CX138" s="139"/>
      <c r="CY138" s="140"/>
      <c r="CZ138" s="11"/>
      <c r="DA138" s="139">
        <f t="shared" ref="DA138:DA146" si="785">IFERROR(DA126/DA$48,0)</f>
        <v>22.48967609</v>
      </c>
      <c r="DB138" s="139"/>
      <c r="DC138" s="139"/>
      <c r="DD138" s="139"/>
      <c r="DE138" s="139"/>
      <c r="DF138" s="139"/>
      <c r="DG138" s="139"/>
      <c r="DH138" s="139"/>
      <c r="DI138" s="139"/>
      <c r="DJ138" s="139"/>
      <c r="DK138" s="139"/>
      <c r="DL138" s="139"/>
      <c r="DM138" s="140">
        <f t="shared" ref="DM138:DM146" si="786">IFERROR(DM126/DM$48,0)</f>
        <v>22.48967609</v>
      </c>
      <c r="DN138" s="1"/>
      <c r="DO138" s="130"/>
      <c r="DP138" s="130"/>
      <c r="DQ138" s="131"/>
    </row>
    <row r="139" outlineLevel="2">
      <c r="A139" s="15"/>
      <c r="B139" s="1" t="s">
        <v>108</v>
      </c>
      <c r="C139" s="15"/>
      <c r="D139" s="216">
        <f t="shared" ref="D139:G139" si="766">IFERROR(D127/D$48,0)</f>
        <v>0</v>
      </c>
      <c r="E139" s="216">
        <f t="shared" si="766"/>
        <v>0</v>
      </c>
      <c r="F139" s="216">
        <f t="shared" si="766"/>
        <v>8.439110174</v>
      </c>
      <c r="G139" s="216">
        <f t="shared" si="766"/>
        <v>0</v>
      </c>
      <c r="H139" s="217"/>
      <c r="I139" s="218">
        <f t="shared" si="767"/>
        <v>0</v>
      </c>
      <c r="J139" s="177">
        <f t="shared" si="768"/>
        <v>0</v>
      </c>
      <c r="K139" s="218">
        <f t="shared" si="769"/>
        <v>8.439110174</v>
      </c>
      <c r="L139" s="177">
        <f t="shared" si="770"/>
        <v>1</v>
      </c>
      <c r="M139" s="218">
        <f t="shared" si="771"/>
        <v>0</v>
      </c>
      <c r="N139" s="177">
        <f t="shared" si="772"/>
        <v>0</v>
      </c>
      <c r="O139" s="217"/>
      <c r="P139" s="139">
        <f t="shared" ref="P139:R139" si="773">IFERROR(P127/P$48,0)</f>
        <v>0</v>
      </c>
      <c r="Q139" s="216">
        <f t="shared" si="773"/>
        <v>8.291295115</v>
      </c>
      <c r="R139" s="216">
        <f t="shared" si="773"/>
        <v>0</v>
      </c>
      <c r="S139" s="217"/>
      <c r="T139" s="218">
        <f t="shared" si="774"/>
        <v>8.291295115</v>
      </c>
      <c r="U139" s="67">
        <f t="shared" si="775"/>
        <v>1</v>
      </c>
      <c r="V139" s="190">
        <f t="shared" si="776"/>
        <v>0</v>
      </c>
      <c r="W139" s="67">
        <f t="shared" si="777"/>
        <v>0</v>
      </c>
      <c r="X139" s="17"/>
      <c r="Y139" s="139">
        <f t="shared" ref="Y139:AB139" si="778">IFERROR(Y127/Y$48,0)</f>
        <v>7.00394084</v>
      </c>
      <c r="Z139" s="139">
        <f t="shared" si="778"/>
        <v>6.878825159</v>
      </c>
      <c r="AA139" s="216">
        <f t="shared" si="778"/>
        <v>7.458186458</v>
      </c>
      <c r="AB139" s="139">
        <f t="shared" si="778"/>
        <v>0</v>
      </c>
      <c r="AC139" s="17"/>
      <c r="AD139" s="190">
        <f t="shared" si="779"/>
        <v>0.4542456178</v>
      </c>
      <c r="AE139" s="67">
        <f t="shared" si="780"/>
        <v>0.06090563978</v>
      </c>
      <c r="AF139" s="190">
        <f t="shared" si="781"/>
        <v>-7.00394084</v>
      </c>
      <c r="AG139" s="67">
        <f t="shared" si="782"/>
        <v>0</v>
      </c>
      <c r="AH139" s="117"/>
      <c r="AI139" s="139">
        <f t="shared" ref="AI139:AU139" si="783">IFERROR(AI127/AI$48,0)</f>
        <v>0</v>
      </c>
      <c r="AJ139" s="139">
        <f t="shared" si="783"/>
        <v>0</v>
      </c>
      <c r="AK139" s="139">
        <f t="shared" si="783"/>
        <v>0</v>
      </c>
      <c r="AL139" s="139">
        <f t="shared" si="783"/>
        <v>0</v>
      </c>
      <c r="AM139" s="139">
        <f t="shared" si="783"/>
        <v>0</v>
      </c>
      <c r="AN139" s="139">
        <f t="shared" si="783"/>
        <v>0</v>
      </c>
      <c r="AO139" s="139">
        <f t="shared" si="783"/>
        <v>0</v>
      </c>
      <c r="AP139" s="139">
        <f t="shared" si="783"/>
        <v>0</v>
      </c>
      <c r="AQ139" s="139">
        <f t="shared" si="783"/>
        <v>0</v>
      </c>
      <c r="AR139" s="139">
        <f t="shared" si="783"/>
        <v>7.169347833</v>
      </c>
      <c r="AS139" s="139">
        <f t="shared" si="783"/>
        <v>6.656101124</v>
      </c>
      <c r="AT139" s="139">
        <f t="shared" si="783"/>
        <v>7.030032574</v>
      </c>
      <c r="AU139" s="140">
        <f t="shared" si="783"/>
        <v>7.00394084</v>
      </c>
      <c r="AV139" s="11"/>
      <c r="AW139" s="139">
        <f t="shared" ref="AW139:BI139" si="784">IFERROR(AW127/AW$48,0)</f>
        <v>0</v>
      </c>
      <c r="AX139" s="139">
        <f t="shared" si="784"/>
        <v>0</v>
      </c>
      <c r="AY139" s="139">
        <f t="shared" si="784"/>
        <v>0</v>
      </c>
      <c r="AZ139" s="139">
        <f t="shared" si="784"/>
        <v>0</v>
      </c>
      <c r="BA139" s="139">
        <f t="shared" si="784"/>
        <v>0</v>
      </c>
      <c r="BB139" s="139">
        <f t="shared" si="784"/>
        <v>0</v>
      </c>
      <c r="BC139" s="139">
        <f t="shared" si="784"/>
        <v>6.116408515</v>
      </c>
      <c r="BD139" s="139">
        <f t="shared" si="784"/>
        <v>7.243998088</v>
      </c>
      <c r="BE139" s="139">
        <f t="shared" si="784"/>
        <v>7.134351652</v>
      </c>
      <c r="BF139" s="139">
        <f t="shared" si="784"/>
        <v>7.169347833</v>
      </c>
      <c r="BG139" s="139">
        <f t="shared" si="784"/>
        <v>6.656101124</v>
      </c>
      <c r="BH139" s="139">
        <f t="shared" si="784"/>
        <v>7.030032574</v>
      </c>
      <c r="BI139" s="140">
        <f t="shared" si="784"/>
        <v>6.878825159</v>
      </c>
      <c r="BJ139" s="117"/>
      <c r="BK139" s="141">
        <v>5.9904</v>
      </c>
      <c r="BL139" s="141">
        <v>9.7404</v>
      </c>
      <c r="BM139" s="141">
        <v>7.3742</v>
      </c>
      <c r="BN139" s="141">
        <v>9.3293</v>
      </c>
      <c r="BO139" s="141">
        <v>8.8643</v>
      </c>
      <c r="BP139" s="141">
        <v>8.4391</v>
      </c>
      <c r="BQ139" s="141">
        <v>6.1164</v>
      </c>
      <c r="BR139" s="141">
        <v>7.244</v>
      </c>
      <c r="BS139" s="141">
        <v>7.1344</v>
      </c>
      <c r="BT139" s="141">
        <v>7.1693</v>
      </c>
      <c r="BU139" s="141">
        <v>6.6561</v>
      </c>
      <c r="BV139" s="141">
        <v>7.03</v>
      </c>
      <c r="BW139" s="142">
        <v>7.4582</v>
      </c>
      <c r="BX139" s="1"/>
      <c r="BY139" s="139"/>
      <c r="BZ139" s="139"/>
      <c r="CA139" s="139"/>
      <c r="CB139" s="139"/>
      <c r="CC139" s="139"/>
      <c r="CD139" s="139"/>
      <c r="CE139" s="139"/>
      <c r="CF139" s="139"/>
      <c r="CG139" s="139"/>
      <c r="CH139" s="139"/>
      <c r="CI139" s="139"/>
      <c r="CJ139" s="139"/>
      <c r="CK139" s="140"/>
      <c r="CL139" s="139"/>
      <c r="CM139" s="139"/>
      <c r="CN139" s="139"/>
      <c r="CO139" s="139"/>
      <c r="CP139" s="139"/>
      <c r="CQ139" s="139"/>
      <c r="CR139" s="139"/>
      <c r="CS139" s="139"/>
      <c r="CT139" s="139"/>
      <c r="CU139" s="139"/>
      <c r="CV139" s="139"/>
      <c r="CW139" s="139"/>
      <c r="CX139" s="139"/>
      <c r="CY139" s="140"/>
      <c r="CZ139" s="11"/>
      <c r="DA139" s="139">
        <f t="shared" si="785"/>
        <v>5.990362924</v>
      </c>
      <c r="DB139" s="139"/>
      <c r="DC139" s="139"/>
      <c r="DD139" s="139"/>
      <c r="DE139" s="139"/>
      <c r="DF139" s="139"/>
      <c r="DG139" s="139"/>
      <c r="DH139" s="139"/>
      <c r="DI139" s="139"/>
      <c r="DJ139" s="139"/>
      <c r="DK139" s="139"/>
      <c r="DL139" s="139"/>
      <c r="DM139" s="140">
        <f t="shared" si="786"/>
        <v>5.990362924</v>
      </c>
      <c r="DN139" s="1"/>
      <c r="DO139" s="130"/>
      <c r="DP139" s="130"/>
      <c r="DQ139" s="131"/>
    </row>
    <row r="140" outlineLevel="2">
      <c r="A140" s="15"/>
      <c r="B140" s="1" t="s">
        <v>132</v>
      </c>
      <c r="C140" s="15"/>
      <c r="D140" s="216">
        <f t="shared" ref="D140:G140" si="787">IFERROR(D128/D$48,0)</f>
        <v>0</v>
      </c>
      <c r="E140" s="216">
        <f t="shared" si="787"/>
        <v>0</v>
      </c>
      <c r="F140" s="216">
        <f t="shared" si="787"/>
        <v>0</v>
      </c>
      <c r="G140" s="216">
        <f t="shared" si="787"/>
        <v>0</v>
      </c>
      <c r="H140" s="217"/>
      <c r="I140" s="218">
        <f t="shared" si="767"/>
        <v>0</v>
      </c>
      <c r="J140" s="177">
        <f t="shared" si="768"/>
        <v>0</v>
      </c>
      <c r="K140" s="218">
        <f t="shared" si="769"/>
        <v>0</v>
      </c>
      <c r="L140" s="177">
        <f t="shared" si="770"/>
        <v>0</v>
      </c>
      <c r="M140" s="218">
        <f t="shared" si="771"/>
        <v>0</v>
      </c>
      <c r="N140" s="177">
        <f t="shared" si="772"/>
        <v>0</v>
      </c>
      <c r="O140" s="217"/>
      <c r="P140" s="216">
        <f t="shared" ref="P140:R140" si="788">IFERROR(P128/P$48,0)</f>
        <v>0</v>
      </c>
      <c r="Q140" s="216">
        <f t="shared" si="788"/>
        <v>0</v>
      </c>
      <c r="R140" s="216">
        <f t="shared" si="788"/>
        <v>0</v>
      </c>
      <c r="S140" s="217"/>
      <c r="T140" s="218">
        <f t="shared" si="774"/>
        <v>0</v>
      </c>
      <c r="U140" s="67">
        <f t="shared" si="775"/>
        <v>0</v>
      </c>
      <c r="V140" s="190">
        <f t="shared" si="776"/>
        <v>0</v>
      </c>
      <c r="W140" s="67">
        <f t="shared" si="777"/>
        <v>0</v>
      </c>
      <c r="X140" s="17"/>
      <c r="Y140" s="139">
        <f t="shared" ref="Y140:AB140" si="789">IFERROR(Y128/Y$48,0)</f>
        <v>0</v>
      </c>
      <c r="Z140" s="139">
        <f t="shared" si="789"/>
        <v>0</v>
      </c>
      <c r="AA140" s="216">
        <f t="shared" si="789"/>
        <v>0</v>
      </c>
      <c r="AB140" s="139">
        <f t="shared" si="789"/>
        <v>0</v>
      </c>
      <c r="AC140" s="17"/>
      <c r="AD140" s="190">
        <f t="shared" si="779"/>
        <v>0</v>
      </c>
      <c r="AE140" s="67">
        <f t="shared" si="780"/>
        <v>0</v>
      </c>
      <c r="AF140" s="190">
        <f t="shared" si="781"/>
        <v>0</v>
      </c>
      <c r="AG140" s="67">
        <f t="shared" si="782"/>
        <v>0</v>
      </c>
      <c r="AH140" s="117"/>
      <c r="AI140" s="139">
        <f t="shared" ref="AI140:AU140" si="790">IFERROR(AI128/AI$48,0)</f>
        <v>0</v>
      </c>
      <c r="AJ140" s="139">
        <f t="shared" si="790"/>
        <v>0</v>
      </c>
      <c r="AK140" s="139">
        <f t="shared" si="790"/>
        <v>0</v>
      </c>
      <c r="AL140" s="139">
        <f t="shared" si="790"/>
        <v>0</v>
      </c>
      <c r="AM140" s="139">
        <f t="shared" si="790"/>
        <v>0</v>
      </c>
      <c r="AN140" s="139">
        <f t="shared" si="790"/>
        <v>0</v>
      </c>
      <c r="AO140" s="139">
        <f t="shared" si="790"/>
        <v>0</v>
      </c>
      <c r="AP140" s="139">
        <f t="shared" si="790"/>
        <v>0</v>
      </c>
      <c r="AQ140" s="139">
        <f t="shared" si="790"/>
        <v>0</v>
      </c>
      <c r="AR140" s="139">
        <f t="shared" si="790"/>
        <v>0</v>
      </c>
      <c r="AS140" s="139">
        <f t="shared" si="790"/>
        <v>0</v>
      </c>
      <c r="AT140" s="139">
        <f t="shared" si="790"/>
        <v>0</v>
      </c>
      <c r="AU140" s="140">
        <f t="shared" si="790"/>
        <v>0</v>
      </c>
      <c r="AV140" s="11"/>
      <c r="AW140" s="139">
        <f t="shared" ref="AW140:BI140" si="791">IFERROR(AW128/AW$48,0)</f>
        <v>0</v>
      </c>
      <c r="AX140" s="139">
        <f t="shared" si="791"/>
        <v>0</v>
      </c>
      <c r="AY140" s="139">
        <f t="shared" si="791"/>
        <v>0</v>
      </c>
      <c r="AZ140" s="139">
        <f t="shared" si="791"/>
        <v>0</v>
      </c>
      <c r="BA140" s="139">
        <f t="shared" si="791"/>
        <v>0</v>
      </c>
      <c r="BB140" s="139">
        <f t="shared" si="791"/>
        <v>0</v>
      </c>
      <c r="BC140" s="139">
        <f t="shared" si="791"/>
        <v>0</v>
      </c>
      <c r="BD140" s="139">
        <f t="shared" si="791"/>
        <v>0</v>
      </c>
      <c r="BE140" s="139">
        <f t="shared" si="791"/>
        <v>0</v>
      </c>
      <c r="BF140" s="139">
        <f t="shared" si="791"/>
        <v>0</v>
      </c>
      <c r="BG140" s="139">
        <f t="shared" si="791"/>
        <v>0</v>
      </c>
      <c r="BH140" s="139">
        <f t="shared" si="791"/>
        <v>0</v>
      </c>
      <c r="BI140" s="140">
        <f t="shared" si="791"/>
        <v>0</v>
      </c>
      <c r="BJ140" s="117"/>
      <c r="BK140" s="141">
        <v>0.0</v>
      </c>
      <c r="BL140" s="141">
        <v>0.0</v>
      </c>
      <c r="BM140" s="141">
        <v>0.0</v>
      </c>
      <c r="BN140" s="141">
        <v>0.0</v>
      </c>
      <c r="BO140" s="141">
        <v>0.0</v>
      </c>
      <c r="BP140" s="141">
        <v>0.0</v>
      </c>
      <c r="BQ140" s="141">
        <v>0.0</v>
      </c>
      <c r="BR140" s="141">
        <v>0.0</v>
      </c>
      <c r="BS140" s="141">
        <v>0.0</v>
      </c>
      <c r="BT140" s="141">
        <v>0.0</v>
      </c>
      <c r="BU140" s="141">
        <v>0.0</v>
      </c>
      <c r="BV140" s="141">
        <v>0.0</v>
      </c>
      <c r="BW140" s="142">
        <v>0.0</v>
      </c>
      <c r="BX140" s="1"/>
      <c r="BY140" s="139"/>
      <c r="BZ140" s="139"/>
      <c r="CA140" s="139"/>
      <c r="CB140" s="139"/>
      <c r="CC140" s="139"/>
      <c r="CD140" s="139"/>
      <c r="CE140" s="139"/>
      <c r="CF140" s="139"/>
      <c r="CG140" s="139"/>
      <c r="CH140" s="139"/>
      <c r="CI140" s="139"/>
      <c r="CJ140" s="139"/>
      <c r="CK140" s="140"/>
      <c r="CL140" s="139"/>
      <c r="CM140" s="139"/>
      <c r="CN140" s="139"/>
      <c r="CO140" s="139"/>
      <c r="CP140" s="139"/>
      <c r="CQ140" s="139"/>
      <c r="CR140" s="139"/>
      <c r="CS140" s="139"/>
      <c r="CT140" s="139"/>
      <c r="CU140" s="139"/>
      <c r="CV140" s="139"/>
      <c r="CW140" s="139"/>
      <c r="CX140" s="139"/>
      <c r="CY140" s="140"/>
      <c r="CZ140" s="11"/>
      <c r="DA140" s="139">
        <f t="shared" si="785"/>
        <v>0</v>
      </c>
      <c r="DB140" s="139"/>
      <c r="DC140" s="139"/>
      <c r="DD140" s="139"/>
      <c r="DE140" s="139"/>
      <c r="DF140" s="139"/>
      <c r="DG140" s="139"/>
      <c r="DH140" s="139"/>
      <c r="DI140" s="139"/>
      <c r="DJ140" s="139"/>
      <c r="DK140" s="139"/>
      <c r="DL140" s="139"/>
      <c r="DM140" s="140">
        <f t="shared" si="786"/>
        <v>0</v>
      </c>
      <c r="DN140" s="1"/>
      <c r="DO140" s="130"/>
      <c r="DP140" s="130"/>
      <c r="DQ140" s="131"/>
    </row>
    <row r="141" outlineLevel="2">
      <c r="A141" s="15"/>
      <c r="B141" s="123" t="s">
        <v>133</v>
      </c>
      <c r="C141" s="124"/>
      <c r="D141" s="216">
        <f t="shared" ref="D141:G141" si="792">IFERROR(D129/D$48,0)</f>
        <v>0</v>
      </c>
      <c r="E141" s="216">
        <f t="shared" si="792"/>
        <v>0</v>
      </c>
      <c r="F141" s="216">
        <f t="shared" si="792"/>
        <v>2.201239899</v>
      </c>
      <c r="G141" s="216">
        <f t="shared" si="792"/>
        <v>0</v>
      </c>
      <c r="H141" s="219"/>
      <c r="I141" s="218">
        <f t="shared" si="767"/>
        <v>0</v>
      </c>
      <c r="J141" s="177">
        <f t="shared" si="768"/>
        <v>0</v>
      </c>
      <c r="K141" s="218">
        <f t="shared" si="769"/>
        <v>2.201239899</v>
      </c>
      <c r="L141" s="177">
        <f t="shared" si="770"/>
        <v>1</v>
      </c>
      <c r="M141" s="218">
        <f t="shared" si="771"/>
        <v>0</v>
      </c>
      <c r="N141" s="177">
        <f t="shared" si="772"/>
        <v>0</v>
      </c>
      <c r="O141" s="219"/>
      <c r="P141" s="216">
        <f t="shared" ref="P141:R141" si="793">IFERROR(P129/P$48,0)</f>
        <v>0</v>
      </c>
      <c r="Q141" s="216">
        <f t="shared" si="793"/>
        <v>2.400763768</v>
      </c>
      <c r="R141" s="216">
        <f t="shared" si="793"/>
        <v>0</v>
      </c>
      <c r="S141" s="219"/>
      <c r="T141" s="218">
        <f t="shared" si="774"/>
        <v>2.400763768</v>
      </c>
      <c r="U141" s="67">
        <f t="shared" si="775"/>
        <v>1</v>
      </c>
      <c r="V141" s="190">
        <f t="shared" si="776"/>
        <v>0</v>
      </c>
      <c r="W141" s="67">
        <f t="shared" si="777"/>
        <v>0</v>
      </c>
      <c r="X141" s="125"/>
      <c r="Y141" s="139">
        <f t="shared" ref="Y141:AB141" si="794">IFERROR(Y129/Y$48,0)</f>
        <v>2.202108872</v>
      </c>
      <c r="Z141" s="139">
        <f t="shared" si="794"/>
        <v>1.945134892</v>
      </c>
      <c r="AA141" s="216">
        <f t="shared" si="794"/>
        <v>2.132022936</v>
      </c>
      <c r="AB141" s="139">
        <f t="shared" si="794"/>
        <v>0</v>
      </c>
      <c r="AC141" s="125"/>
      <c r="AD141" s="190">
        <f t="shared" si="779"/>
        <v>-0.07008593624</v>
      </c>
      <c r="AE141" s="67">
        <f t="shared" si="780"/>
        <v>-0.03287297479</v>
      </c>
      <c r="AF141" s="190">
        <f t="shared" si="781"/>
        <v>-2.202108872</v>
      </c>
      <c r="AG141" s="67">
        <f t="shared" si="782"/>
        <v>0</v>
      </c>
      <c r="AH141" s="126"/>
      <c r="AI141" s="139">
        <f t="shared" ref="AI141:AU141" si="795">IFERROR(AI129/AI$48,0)</f>
        <v>0</v>
      </c>
      <c r="AJ141" s="139">
        <f t="shared" si="795"/>
        <v>0</v>
      </c>
      <c r="AK141" s="139">
        <f t="shared" si="795"/>
        <v>0</v>
      </c>
      <c r="AL141" s="139">
        <f t="shared" si="795"/>
        <v>0</v>
      </c>
      <c r="AM141" s="139">
        <f t="shared" si="795"/>
        <v>0</v>
      </c>
      <c r="AN141" s="139">
        <f t="shared" si="795"/>
        <v>0</v>
      </c>
      <c r="AO141" s="139">
        <f t="shared" si="795"/>
        <v>0</v>
      </c>
      <c r="AP141" s="139">
        <f t="shared" si="795"/>
        <v>0</v>
      </c>
      <c r="AQ141" s="139">
        <f t="shared" si="795"/>
        <v>0</v>
      </c>
      <c r="AR141" s="139">
        <f t="shared" si="795"/>
        <v>2.128087641</v>
      </c>
      <c r="AS141" s="139">
        <f t="shared" si="795"/>
        <v>2.226763146</v>
      </c>
      <c r="AT141" s="139">
        <f t="shared" si="795"/>
        <v>2.303899968</v>
      </c>
      <c r="AU141" s="140">
        <f t="shared" si="795"/>
        <v>2.202108872</v>
      </c>
      <c r="AV141" s="127"/>
      <c r="AW141" s="139">
        <f t="shared" ref="AW141:BI141" si="796">IFERROR(AW129/AW$48,0)</f>
        <v>0</v>
      </c>
      <c r="AX141" s="139">
        <f t="shared" si="796"/>
        <v>0</v>
      </c>
      <c r="AY141" s="139">
        <f t="shared" si="796"/>
        <v>0</v>
      </c>
      <c r="AZ141" s="139">
        <f t="shared" si="796"/>
        <v>0</v>
      </c>
      <c r="BA141" s="139">
        <f t="shared" si="796"/>
        <v>0</v>
      </c>
      <c r="BB141" s="139">
        <f t="shared" si="796"/>
        <v>0</v>
      </c>
      <c r="BC141" s="139">
        <f t="shared" si="796"/>
        <v>1.626504458</v>
      </c>
      <c r="BD141" s="139">
        <f t="shared" si="796"/>
        <v>1.569967324</v>
      </c>
      <c r="BE141" s="139">
        <f t="shared" si="796"/>
        <v>2.219510258</v>
      </c>
      <c r="BF141" s="139">
        <f t="shared" si="796"/>
        <v>2.128087641</v>
      </c>
      <c r="BG141" s="139">
        <f t="shared" si="796"/>
        <v>2.226763146</v>
      </c>
      <c r="BH141" s="139">
        <f t="shared" si="796"/>
        <v>2.303899968</v>
      </c>
      <c r="BI141" s="140">
        <f t="shared" si="796"/>
        <v>1.945134892</v>
      </c>
      <c r="BJ141" s="126"/>
      <c r="BK141" s="141">
        <v>2.0375</v>
      </c>
      <c r="BL141" s="141">
        <v>2.0299</v>
      </c>
      <c r="BM141" s="141">
        <v>2.276</v>
      </c>
      <c r="BN141" s="141">
        <v>2.7332</v>
      </c>
      <c r="BO141" s="141">
        <v>3.2891</v>
      </c>
      <c r="BP141" s="141">
        <v>2.2012</v>
      </c>
      <c r="BQ141" s="141">
        <v>1.6265</v>
      </c>
      <c r="BR141" s="141">
        <v>1.57</v>
      </c>
      <c r="BS141" s="141">
        <v>2.2195</v>
      </c>
      <c r="BT141" s="141">
        <v>2.1281</v>
      </c>
      <c r="BU141" s="141">
        <v>2.2268</v>
      </c>
      <c r="BV141" s="141">
        <v>2.3039</v>
      </c>
      <c r="BW141" s="142">
        <v>2.132</v>
      </c>
      <c r="BX141" s="1"/>
      <c r="BY141" s="139"/>
      <c r="BZ141" s="139"/>
      <c r="CA141" s="139"/>
      <c r="CB141" s="139"/>
      <c r="CC141" s="139"/>
      <c r="CD141" s="139"/>
      <c r="CE141" s="139"/>
      <c r="CF141" s="139"/>
      <c r="CG141" s="139"/>
      <c r="CH141" s="139"/>
      <c r="CI141" s="139"/>
      <c r="CJ141" s="139"/>
      <c r="CK141" s="140"/>
      <c r="CL141" s="139"/>
      <c r="CM141" s="139"/>
      <c r="CN141" s="139"/>
      <c r="CO141" s="139"/>
      <c r="CP141" s="139"/>
      <c r="CQ141" s="139"/>
      <c r="CR141" s="139"/>
      <c r="CS141" s="139"/>
      <c r="CT141" s="139"/>
      <c r="CU141" s="139"/>
      <c r="CV141" s="139"/>
      <c r="CW141" s="139"/>
      <c r="CX141" s="139"/>
      <c r="CY141" s="140"/>
      <c r="CZ141" s="11"/>
      <c r="DA141" s="139">
        <f t="shared" si="785"/>
        <v>2.037455096</v>
      </c>
      <c r="DB141" s="139"/>
      <c r="DC141" s="139"/>
      <c r="DD141" s="139"/>
      <c r="DE141" s="139"/>
      <c r="DF141" s="139"/>
      <c r="DG141" s="139"/>
      <c r="DH141" s="139"/>
      <c r="DI141" s="139"/>
      <c r="DJ141" s="139"/>
      <c r="DK141" s="139"/>
      <c r="DL141" s="139"/>
      <c r="DM141" s="140">
        <f t="shared" si="786"/>
        <v>2.037455096</v>
      </c>
      <c r="DN141" s="1"/>
      <c r="DO141" s="130"/>
      <c r="DP141" s="130"/>
      <c r="DQ141" s="131"/>
    </row>
    <row r="142" outlineLevel="2">
      <c r="A142" s="15"/>
      <c r="B142" s="1" t="s">
        <v>134</v>
      </c>
      <c r="C142" s="15"/>
      <c r="D142" s="216">
        <f t="shared" ref="D142:G142" si="797">IFERROR(D130/D$48,0)</f>
        <v>0</v>
      </c>
      <c r="E142" s="216">
        <f t="shared" si="797"/>
        <v>0</v>
      </c>
      <c r="F142" s="216">
        <f t="shared" si="797"/>
        <v>1.106790841</v>
      </c>
      <c r="G142" s="216">
        <f t="shared" si="797"/>
        <v>0</v>
      </c>
      <c r="H142" s="217"/>
      <c r="I142" s="218">
        <f t="shared" si="767"/>
        <v>0</v>
      </c>
      <c r="J142" s="177">
        <f t="shared" si="768"/>
        <v>0</v>
      </c>
      <c r="K142" s="218">
        <f t="shared" si="769"/>
        <v>1.106790841</v>
      </c>
      <c r="L142" s="177">
        <f t="shared" si="770"/>
        <v>1</v>
      </c>
      <c r="M142" s="218">
        <f t="shared" si="771"/>
        <v>0</v>
      </c>
      <c r="N142" s="177">
        <f t="shared" si="772"/>
        <v>0</v>
      </c>
      <c r="O142" s="217"/>
      <c r="P142" s="216">
        <f t="shared" ref="P142:R142" si="798">IFERROR(P130/P$48,0)</f>
        <v>0</v>
      </c>
      <c r="Q142" s="216">
        <f t="shared" si="798"/>
        <v>1.588987155</v>
      </c>
      <c r="R142" s="216">
        <f t="shared" si="798"/>
        <v>0</v>
      </c>
      <c r="S142" s="217"/>
      <c r="T142" s="218">
        <f t="shared" si="774"/>
        <v>1.588987155</v>
      </c>
      <c r="U142" s="67">
        <f t="shared" si="775"/>
        <v>1</v>
      </c>
      <c r="V142" s="190">
        <f t="shared" si="776"/>
        <v>0</v>
      </c>
      <c r="W142" s="67">
        <f t="shared" si="777"/>
        <v>0</v>
      </c>
      <c r="X142" s="17"/>
      <c r="Y142" s="139">
        <f t="shared" ref="Y142:AB142" si="799">IFERROR(Y130/Y$48,0)</f>
        <v>1.821285555</v>
      </c>
      <c r="Z142" s="139">
        <f t="shared" si="799"/>
        <v>1.536621266</v>
      </c>
      <c r="AA142" s="216">
        <f t="shared" si="799"/>
        <v>1.558100465</v>
      </c>
      <c r="AB142" s="139">
        <f t="shared" si="799"/>
        <v>0</v>
      </c>
      <c r="AC142" s="17"/>
      <c r="AD142" s="190">
        <f t="shared" si="779"/>
        <v>-0.2631850892</v>
      </c>
      <c r="AE142" s="67">
        <f t="shared" si="780"/>
        <v>-0.1689140688</v>
      </c>
      <c r="AF142" s="190">
        <f t="shared" si="781"/>
        <v>-1.821285555</v>
      </c>
      <c r="AG142" s="67">
        <f t="shared" si="782"/>
        <v>0</v>
      </c>
      <c r="AH142" s="117"/>
      <c r="AI142" s="139">
        <f t="shared" ref="AI142:AU142" si="800">IFERROR(AI130/AI$48,0)</f>
        <v>0</v>
      </c>
      <c r="AJ142" s="139">
        <f t="shared" si="800"/>
        <v>0</v>
      </c>
      <c r="AK142" s="139">
        <f t="shared" si="800"/>
        <v>0</v>
      </c>
      <c r="AL142" s="139">
        <f t="shared" si="800"/>
        <v>0</v>
      </c>
      <c r="AM142" s="139">
        <f t="shared" si="800"/>
        <v>0</v>
      </c>
      <c r="AN142" s="139">
        <f t="shared" si="800"/>
        <v>0</v>
      </c>
      <c r="AO142" s="139">
        <f t="shared" si="800"/>
        <v>0</v>
      </c>
      <c r="AP142" s="139">
        <f t="shared" si="800"/>
        <v>0</v>
      </c>
      <c r="AQ142" s="139">
        <f t="shared" si="800"/>
        <v>0</v>
      </c>
      <c r="AR142" s="139">
        <f t="shared" si="800"/>
        <v>1.797804877</v>
      </c>
      <c r="AS142" s="139">
        <f t="shared" si="800"/>
        <v>1.832852809</v>
      </c>
      <c r="AT142" s="139">
        <f t="shared" si="800"/>
        <v>1.85033033</v>
      </c>
      <c r="AU142" s="140">
        <f t="shared" si="800"/>
        <v>1.821285555</v>
      </c>
      <c r="AV142" s="11"/>
      <c r="AW142" s="139">
        <f t="shared" ref="AW142:BI142" si="801">IFERROR(AW130/AW$48,0)</f>
        <v>0</v>
      </c>
      <c r="AX142" s="139">
        <f t="shared" si="801"/>
        <v>0</v>
      </c>
      <c r="AY142" s="139">
        <f t="shared" si="801"/>
        <v>0</v>
      </c>
      <c r="AZ142" s="139">
        <f t="shared" si="801"/>
        <v>0</v>
      </c>
      <c r="BA142" s="139">
        <f t="shared" si="801"/>
        <v>0</v>
      </c>
      <c r="BB142" s="139">
        <f t="shared" si="801"/>
        <v>0</v>
      </c>
      <c r="BC142" s="139">
        <f t="shared" si="801"/>
        <v>1.250000237</v>
      </c>
      <c r="BD142" s="139">
        <f t="shared" si="801"/>
        <v>1.094862823</v>
      </c>
      <c r="BE142" s="139">
        <f t="shared" si="801"/>
        <v>1.789029876</v>
      </c>
      <c r="BF142" s="139">
        <f t="shared" si="801"/>
        <v>1.797804877</v>
      </c>
      <c r="BG142" s="139">
        <f t="shared" si="801"/>
        <v>1.832852809</v>
      </c>
      <c r="BH142" s="139">
        <f t="shared" si="801"/>
        <v>1.85033033</v>
      </c>
      <c r="BI142" s="140">
        <f t="shared" si="801"/>
        <v>1.536621266</v>
      </c>
      <c r="BJ142" s="117"/>
      <c r="BK142" s="141">
        <v>1.3291</v>
      </c>
      <c r="BL142" s="141">
        <v>1.3021</v>
      </c>
      <c r="BM142" s="141">
        <v>1.8119</v>
      </c>
      <c r="BN142" s="141">
        <v>2.6442</v>
      </c>
      <c r="BO142" s="141">
        <v>1.6833</v>
      </c>
      <c r="BP142" s="141">
        <v>1.1068</v>
      </c>
      <c r="BQ142" s="141">
        <v>1.25</v>
      </c>
      <c r="BR142" s="141">
        <v>1.0949</v>
      </c>
      <c r="BS142" s="141">
        <v>1.789</v>
      </c>
      <c r="BT142" s="141">
        <v>1.7978</v>
      </c>
      <c r="BU142" s="141">
        <v>1.8329</v>
      </c>
      <c r="BV142" s="141">
        <v>1.8503</v>
      </c>
      <c r="BW142" s="142">
        <v>1.5581</v>
      </c>
      <c r="BX142" s="1"/>
      <c r="BY142" s="139"/>
      <c r="BZ142" s="139"/>
      <c r="CA142" s="139"/>
      <c r="CB142" s="139"/>
      <c r="CC142" s="139"/>
      <c r="CD142" s="139"/>
      <c r="CE142" s="139"/>
      <c r="CF142" s="139"/>
      <c r="CG142" s="139"/>
      <c r="CH142" s="139"/>
      <c r="CI142" s="139"/>
      <c r="CJ142" s="139"/>
      <c r="CK142" s="140"/>
      <c r="CL142" s="139"/>
      <c r="CM142" s="139"/>
      <c r="CN142" s="139"/>
      <c r="CO142" s="139"/>
      <c r="CP142" s="139"/>
      <c r="CQ142" s="139"/>
      <c r="CR142" s="139"/>
      <c r="CS142" s="139"/>
      <c r="CT142" s="139"/>
      <c r="CU142" s="139"/>
      <c r="CV142" s="139"/>
      <c r="CW142" s="139"/>
      <c r="CX142" s="139"/>
      <c r="CY142" s="140"/>
      <c r="CZ142" s="11"/>
      <c r="DA142" s="139">
        <f t="shared" si="785"/>
        <v>1.32906288</v>
      </c>
      <c r="DB142" s="139"/>
      <c r="DC142" s="139"/>
      <c r="DD142" s="139"/>
      <c r="DE142" s="139"/>
      <c r="DF142" s="139"/>
      <c r="DG142" s="139"/>
      <c r="DH142" s="139"/>
      <c r="DI142" s="139"/>
      <c r="DJ142" s="139"/>
      <c r="DK142" s="139"/>
      <c r="DL142" s="139"/>
      <c r="DM142" s="140">
        <f t="shared" si="786"/>
        <v>1.32906288</v>
      </c>
      <c r="DN142" s="1"/>
      <c r="DO142" s="132"/>
      <c r="DP142" s="132"/>
      <c r="DQ142" s="131"/>
    </row>
    <row r="143" outlineLevel="2">
      <c r="A143" s="15"/>
      <c r="B143" s="1" t="s">
        <v>135</v>
      </c>
      <c r="C143" s="15"/>
      <c r="D143" s="216">
        <f t="shared" ref="D143:G143" si="802">IFERROR(D131/D$48,0)</f>
        <v>0</v>
      </c>
      <c r="E143" s="216">
        <f t="shared" si="802"/>
        <v>0</v>
      </c>
      <c r="F143" s="216">
        <f t="shared" si="802"/>
        <v>0.6082932559</v>
      </c>
      <c r="G143" s="216">
        <f t="shared" si="802"/>
        <v>0</v>
      </c>
      <c r="H143" s="217"/>
      <c r="I143" s="218">
        <f t="shared" si="767"/>
        <v>0</v>
      </c>
      <c r="J143" s="177">
        <f t="shared" si="768"/>
        <v>0</v>
      </c>
      <c r="K143" s="218">
        <f t="shared" si="769"/>
        <v>0.6082932559</v>
      </c>
      <c r="L143" s="177">
        <f t="shared" si="770"/>
        <v>1</v>
      </c>
      <c r="M143" s="218">
        <f t="shared" si="771"/>
        <v>0</v>
      </c>
      <c r="N143" s="177">
        <f t="shared" si="772"/>
        <v>0</v>
      </c>
      <c r="O143" s="217"/>
      <c r="P143" s="216">
        <f t="shared" ref="P143:R143" si="803">IFERROR(P131/P$48,0)</f>
        <v>0</v>
      </c>
      <c r="Q143" s="216">
        <f t="shared" si="803"/>
        <v>0.787260058</v>
      </c>
      <c r="R143" s="216">
        <f t="shared" si="803"/>
        <v>0</v>
      </c>
      <c r="S143" s="217"/>
      <c r="T143" s="218">
        <f t="shared" si="774"/>
        <v>0.787260058</v>
      </c>
      <c r="U143" s="67">
        <f t="shared" si="775"/>
        <v>1</v>
      </c>
      <c r="V143" s="190">
        <f t="shared" si="776"/>
        <v>0</v>
      </c>
      <c r="W143" s="67">
        <f t="shared" si="777"/>
        <v>0</v>
      </c>
      <c r="X143" s="17"/>
      <c r="Y143" s="139">
        <f t="shared" ref="Y143:AB143" si="804">IFERROR(Y131/Y$48,0)</f>
        <v>0.7369365001</v>
      </c>
      <c r="Z143" s="139">
        <f t="shared" si="804"/>
        <v>0.6234879453</v>
      </c>
      <c r="AA143" s="216">
        <f t="shared" si="804"/>
        <v>0.6906633424</v>
      </c>
      <c r="AB143" s="139">
        <f t="shared" si="804"/>
        <v>0</v>
      </c>
      <c r="AC143" s="17"/>
      <c r="AD143" s="190">
        <f t="shared" si="779"/>
        <v>-0.04627315772</v>
      </c>
      <c r="AE143" s="67">
        <f t="shared" si="780"/>
        <v>-0.0669981377</v>
      </c>
      <c r="AF143" s="190">
        <f t="shared" si="781"/>
        <v>-0.7369365001</v>
      </c>
      <c r="AG143" s="67">
        <f t="shared" si="782"/>
        <v>0</v>
      </c>
      <c r="AH143" s="117"/>
      <c r="AI143" s="139">
        <f t="shared" ref="AI143:AU143" si="805">IFERROR(AI131/AI$48,0)</f>
        <v>0</v>
      </c>
      <c r="AJ143" s="139">
        <f t="shared" si="805"/>
        <v>0</v>
      </c>
      <c r="AK143" s="139">
        <f t="shared" si="805"/>
        <v>0</v>
      </c>
      <c r="AL143" s="139">
        <f t="shared" si="805"/>
        <v>0</v>
      </c>
      <c r="AM143" s="139">
        <f t="shared" si="805"/>
        <v>0</v>
      </c>
      <c r="AN143" s="139">
        <f t="shared" si="805"/>
        <v>0</v>
      </c>
      <c r="AO143" s="139">
        <f t="shared" si="805"/>
        <v>0</v>
      </c>
      <c r="AP143" s="139">
        <f t="shared" si="805"/>
        <v>0</v>
      </c>
      <c r="AQ143" s="139">
        <f t="shared" si="805"/>
        <v>0</v>
      </c>
      <c r="AR143" s="139">
        <f t="shared" si="805"/>
        <v>0.7274358781</v>
      </c>
      <c r="AS143" s="139">
        <f t="shared" si="805"/>
        <v>0.7416161798</v>
      </c>
      <c r="AT143" s="139">
        <f t="shared" si="805"/>
        <v>0.7486889555</v>
      </c>
      <c r="AU143" s="140">
        <f t="shared" si="805"/>
        <v>0.7369365001</v>
      </c>
      <c r="AV143" s="11"/>
      <c r="AW143" s="139">
        <f t="shared" ref="AW143:BI143" si="806">IFERROR(AW131/AW$48,0)</f>
        <v>0</v>
      </c>
      <c r="AX143" s="139">
        <f t="shared" si="806"/>
        <v>0</v>
      </c>
      <c r="AY143" s="139">
        <f t="shared" si="806"/>
        <v>0</v>
      </c>
      <c r="AZ143" s="139">
        <f t="shared" si="806"/>
        <v>0</v>
      </c>
      <c r="BA143" s="139">
        <f t="shared" si="806"/>
        <v>0</v>
      </c>
      <c r="BB143" s="139">
        <f t="shared" si="806"/>
        <v>0</v>
      </c>
      <c r="BC143" s="139">
        <f t="shared" si="806"/>
        <v>0.5906249745</v>
      </c>
      <c r="BD143" s="139">
        <f t="shared" si="806"/>
        <v>0.5330114868</v>
      </c>
      <c r="BE143" s="139">
        <f t="shared" si="806"/>
        <v>0.5274015017</v>
      </c>
      <c r="BF143" s="139">
        <f t="shared" si="806"/>
        <v>0.7274358781</v>
      </c>
      <c r="BG143" s="139">
        <f t="shared" si="806"/>
        <v>0.7416161798</v>
      </c>
      <c r="BH143" s="139">
        <f t="shared" si="806"/>
        <v>0.7486889555</v>
      </c>
      <c r="BI143" s="140">
        <f t="shared" si="806"/>
        <v>0.6234879453</v>
      </c>
      <c r="BJ143" s="117"/>
      <c r="BK143" s="141">
        <v>0.7288</v>
      </c>
      <c r="BL143" s="141">
        <v>0.7146</v>
      </c>
      <c r="BM143" s="141">
        <v>0.7314</v>
      </c>
      <c r="BN143" s="141">
        <v>0.9887</v>
      </c>
      <c r="BO143" s="141">
        <v>1.0205</v>
      </c>
      <c r="BP143" s="141">
        <v>0.6083</v>
      </c>
      <c r="BQ143" s="141">
        <v>0.5906</v>
      </c>
      <c r="BR143" s="141">
        <v>0.533</v>
      </c>
      <c r="BS143" s="141">
        <v>0.5274</v>
      </c>
      <c r="BT143" s="141">
        <v>0.7274</v>
      </c>
      <c r="BU143" s="141">
        <v>0.7416</v>
      </c>
      <c r="BV143" s="141">
        <v>0.7487</v>
      </c>
      <c r="BW143" s="142">
        <v>0.6907</v>
      </c>
      <c r="BX143" s="1"/>
      <c r="BY143" s="139"/>
      <c r="BZ143" s="139"/>
      <c r="CA143" s="139"/>
      <c r="CB143" s="139"/>
      <c r="CC143" s="139"/>
      <c r="CD143" s="139"/>
      <c r="CE143" s="139"/>
      <c r="CF143" s="139"/>
      <c r="CG143" s="139"/>
      <c r="CH143" s="139"/>
      <c r="CI143" s="139"/>
      <c r="CJ143" s="139"/>
      <c r="CK143" s="140"/>
      <c r="CL143" s="139"/>
      <c r="CM143" s="139"/>
      <c r="CN143" s="139"/>
      <c r="CO143" s="139"/>
      <c r="CP143" s="139"/>
      <c r="CQ143" s="139"/>
      <c r="CR143" s="139"/>
      <c r="CS143" s="139"/>
      <c r="CT143" s="139"/>
      <c r="CU143" s="139"/>
      <c r="CV143" s="139"/>
      <c r="CW143" s="139"/>
      <c r="CX143" s="139"/>
      <c r="CY143" s="140"/>
      <c r="CZ143" s="11"/>
      <c r="DA143" s="139">
        <f t="shared" si="785"/>
        <v>0.7287766912</v>
      </c>
      <c r="DB143" s="139"/>
      <c r="DC143" s="139"/>
      <c r="DD143" s="139"/>
      <c r="DE143" s="139"/>
      <c r="DF143" s="139"/>
      <c r="DG143" s="139"/>
      <c r="DH143" s="139"/>
      <c r="DI143" s="139"/>
      <c r="DJ143" s="139"/>
      <c r="DK143" s="139"/>
      <c r="DL143" s="139"/>
      <c r="DM143" s="140">
        <f t="shared" si="786"/>
        <v>0.7287766912</v>
      </c>
      <c r="DN143" s="1"/>
      <c r="DO143" s="132"/>
      <c r="DP143" s="132"/>
      <c r="DQ143" s="131"/>
    </row>
    <row r="144" outlineLevel="2">
      <c r="A144" s="15"/>
      <c r="B144" s="1" t="s">
        <v>136</v>
      </c>
      <c r="C144" s="15"/>
      <c r="D144" s="216">
        <f t="shared" ref="D144:G144" si="807">IFERROR(D132/D$48,0)</f>
        <v>0</v>
      </c>
      <c r="E144" s="216">
        <f t="shared" si="807"/>
        <v>0</v>
      </c>
      <c r="F144" s="216">
        <f t="shared" si="807"/>
        <v>0</v>
      </c>
      <c r="G144" s="216">
        <f t="shared" si="807"/>
        <v>0</v>
      </c>
      <c r="H144" s="217"/>
      <c r="I144" s="218">
        <f t="shared" si="767"/>
        <v>0</v>
      </c>
      <c r="J144" s="177">
        <f t="shared" si="768"/>
        <v>0</v>
      </c>
      <c r="K144" s="218">
        <f t="shared" si="769"/>
        <v>0</v>
      </c>
      <c r="L144" s="177">
        <f t="shared" si="770"/>
        <v>0</v>
      </c>
      <c r="M144" s="218">
        <f t="shared" si="771"/>
        <v>0</v>
      </c>
      <c r="N144" s="177">
        <f t="shared" si="772"/>
        <v>0</v>
      </c>
      <c r="O144" s="217"/>
      <c r="P144" s="216">
        <f t="shared" ref="P144:R144" si="808">IFERROR(P132/P$48,0)</f>
        <v>0</v>
      </c>
      <c r="Q144" s="216">
        <f t="shared" si="808"/>
        <v>0</v>
      </c>
      <c r="R144" s="216">
        <f t="shared" si="808"/>
        <v>0</v>
      </c>
      <c r="S144" s="217"/>
      <c r="T144" s="218">
        <f t="shared" si="774"/>
        <v>0</v>
      </c>
      <c r="U144" s="67">
        <f t="shared" si="775"/>
        <v>0</v>
      </c>
      <c r="V144" s="190">
        <f t="shared" si="776"/>
        <v>0</v>
      </c>
      <c r="W144" s="67">
        <f t="shared" si="777"/>
        <v>0</v>
      </c>
      <c r="X144" s="17"/>
      <c r="Y144" s="139">
        <f t="shared" ref="Y144:AB144" si="809">IFERROR(Y132/Y$48,0)</f>
        <v>0</v>
      </c>
      <c r="Z144" s="139">
        <f t="shared" si="809"/>
        <v>0.001489795464</v>
      </c>
      <c r="AA144" s="216">
        <f t="shared" si="809"/>
        <v>0.0008787168768</v>
      </c>
      <c r="AB144" s="139">
        <f t="shared" si="809"/>
        <v>0</v>
      </c>
      <c r="AC144" s="17"/>
      <c r="AD144" s="190">
        <f t="shared" si="779"/>
        <v>0.0008787168768</v>
      </c>
      <c r="AE144" s="67">
        <f t="shared" si="780"/>
        <v>1</v>
      </c>
      <c r="AF144" s="190">
        <f t="shared" si="781"/>
        <v>0</v>
      </c>
      <c r="AG144" s="67">
        <f t="shared" si="782"/>
        <v>0</v>
      </c>
      <c r="AH144" s="117"/>
      <c r="AI144" s="139">
        <f t="shared" ref="AI144:AU144" si="810">IFERROR(AI132/AI$48,0)</f>
        <v>0</v>
      </c>
      <c r="AJ144" s="139">
        <f t="shared" si="810"/>
        <v>0</v>
      </c>
      <c r="AK144" s="139">
        <f t="shared" si="810"/>
        <v>0</v>
      </c>
      <c r="AL144" s="139">
        <f t="shared" si="810"/>
        <v>0</v>
      </c>
      <c r="AM144" s="139">
        <f t="shared" si="810"/>
        <v>0</v>
      </c>
      <c r="AN144" s="139">
        <f t="shared" si="810"/>
        <v>0</v>
      </c>
      <c r="AO144" s="139">
        <f t="shared" si="810"/>
        <v>0</v>
      </c>
      <c r="AP144" s="139">
        <f t="shared" si="810"/>
        <v>0</v>
      </c>
      <c r="AQ144" s="139">
        <f t="shared" si="810"/>
        <v>0</v>
      </c>
      <c r="AR144" s="139">
        <f t="shared" si="810"/>
        <v>0</v>
      </c>
      <c r="AS144" s="139">
        <f t="shared" si="810"/>
        <v>0</v>
      </c>
      <c r="AT144" s="139">
        <f t="shared" si="810"/>
        <v>0</v>
      </c>
      <c r="AU144" s="140">
        <f t="shared" si="810"/>
        <v>0</v>
      </c>
      <c r="AV144" s="11"/>
      <c r="AW144" s="139">
        <f t="shared" ref="AW144:BI144" si="811">IFERROR(AW132/AW$48,0)</f>
        <v>0</v>
      </c>
      <c r="AX144" s="139">
        <f t="shared" si="811"/>
        <v>0</v>
      </c>
      <c r="AY144" s="139">
        <f t="shared" si="811"/>
        <v>0</v>
      </c>
      <c r="AZ144" s="139">
        <f t="shared" si="811"/>
        <v>0</v>
      </c>
      <c r="BA144" s="139">
        <f t="shared" si="811"/>
        <v>0</v>
      </c>
      <c r="BB144" s="139">
        <f t="shared" si="811"/>
        <v>0</v>
      </c>
      <c r="BC144" s="139">
        <f t="shared" si="811"/>
        <v>0.006650744096</v>
      </c>
      <c r="BD144" s="139">
        <f t="shared" si="811"/>
        <v>0</v>
      </c>
      <c r="BE144" s="139">
        <f t="shared" si="811"/>
        <v>0</v>
      </c>
      <c r="BF144" s="139">
        <f t="shared" si="811"/>
        <v>0</v>
      </c>
      <c r="BG144" s="139">
        <f t="shared" si="811"/>
        <v>0</v>
      </c>
      <c r="BH144" s="139">
        <f t="shared" si="811"/>
        <v>0</v>
      </c>
      <c r="BI144" s="140">
        <f t="shared" si="811"/>
        <v>0.001489795464</v>
      </c>
      <c r="BJ144" s="117"/>
      <c r="BK144" s="141">
        <v>0.0</v>
      </c>
      <c r="BL144" s="141">
        <v>0.0</v>
      </c>
      <c r="BM144" s="141">
        <v>0.0</v>
      </c>
      <c r="BN144" s="141">
        <v>0.0</v>
      </c>
      <c r="BO144" s="141">
        <v>0.0</v>
      </c>
      <c r="BP144" s="141">
        <v>0.0</v>
      </c>
      <c r="BQ144" s="141">
        <v>0.0067</v>
      </c>
      <c r="BR144" s="141">
        <v>0.0</v>
      </c>
      <c r="BS144" s="141">
        <v>0.0</v>
      </c>
      <c r="BT144" s="141">
        <v>0.0</v>
      </c>
      <c r="BU144" s="141">
        <v>0.0</v>
      </c>
      <c r="BV144" s="141">
        <v>0.0</v>
      </c>
      <c r="BW144" s="142">
        <v>9.0E-4</v>
      </c>
      <c r="BX144" s="1"/>
      <c r="BY144" s="139"/>
      <c r="BZ144" s="139"/>
      <c r="CA144" s="139"/>
      <c r="CB144" s="139"/>
      <c r="CC144" s="139"/>
      <c r="CD144" s="139"/>
      <c r="CE144" s="139"/>
      <c r="CF144" s="139"/>
      <c r="CG144" s="139"/>
      <c r="CH144" s="139"/>
      <c r="CI144" s="139"/>
      <c r="CJ144" s="139"/>
      <c r="CK144" s="140"/>
      <c r="CL144" s="139"/>
      <c r="CM144" s="139"/>
      <c r="CN144" s="139"/>
      <c r="CO144" s="139"/>
      <c r="CP144" s="139"/>
      <c r="CQ144" s="139"/>
      <c r="CR144" s="139"/>
      <c r="CS144" s="139"/>
      <c r="CT144" s="139"/>
      <c r="CU144" s="139"/>
      <c r="CV144" s="139"/>
      <c r="CW144" s="139"/>
      <c r="CX144" s="139"/>
      <c r="CY144" s="140"/>
      <c r="CZ144" s="11"/>
      <c r="DA144" s="139">
        <f t="shared" si="785"/>
        <v>0</v>
      </c>
      <c r="DB144" s="139"/>
      <c r="DC144" s="139"/>
      <c r="DD144" s="139"/>
      <c r="DE144" s="139"/>
      <c r="DF144" s="139"/>
      <c r="DG144" s="139"/>
      <c r="DH144" s="139"/>
      <c r="DI144" s="139"/>
      <c r="DJ144" s="139"/>
      <c r="DK144" s="139"/>
      <c r="DL144" s="139"/>
      <c r="DM144" s="140">
        <f t="shared" si="786"/>
        <v>0</v>
      </c>
      <c r="DN144" s="1"/>
      <c r="DO144" s="132"/>
      <c r="DP144" s="132"/>
      <c r="DQ144" s="131"/>
    </row>
    <row r="145" outlineLevel="2">
      <c r="A145" s="15"/>
      <c r="B145" s="1" t="s">
        <v>137</v>
      </c>
      <c r="C145" s="15"/>
      <c r="D145" s="216">
        <f t="shared" ref="D145:G145" si="812">IFERROR(D133/D$48,0)</f>
        <v>0</v>
      </c>
      <c r="E145" s="216">
        <f t="shared" si="812"/>
        <v>0</v>
      </c>
      <c r="F145" s="216">
        <f t="shared" si="812"/>
        <v>2.494133905</v>
      </c>
      <c r="G145" s="216">
        <f t="shared" si="812"/>
        <v>0</v>
      </c>
      <c r="H145" s="217"/>
      <c r="I145" s="218">
        <f t="shared" si="767"/>
        <v>0</v>
      </c>
      <c r="J145" s="177">
        <f t="shared" si="768"/>
        <v>0</v>
      </c>
      <c r="K145" s="218">
        <f t="shared" si="769"/>
        <v>2.494133905</v>
      </c>
      <c r="L145" s="177">
        <f t="shared" si="770"/>
        <v>1</v>
      </c>
      <c r="M145" s="218">
        <f t="shared" si="771"/>
        <v>0</v>
      </c>
      <c r="N145" s="177">
        <f t="shared" si="772"/>
        <v>0</v>
      </c>
      <c r="O145" s="217"/>
      <c r="P145" s="216">
        <f t="shared" ref="P145:R145" si="813">IFERROR(P133/P$48,0)</f>
        <v>0</v>
      </c>
      <c r="Q145" s="216">
        <f t="shared" si="813"/>
        <v>2.820369617</v>
      </c>
      <c r="R145" s="216">
        <f t="shared" si="813"/>
        <v>0</v>
      </c>
      <c r="S145" s="217"/>
      <c r="T145" s="218">
        <f t="shared" si="774"/>
        <v>2.820369617</v>
      </c>
      <c r="U145" s="67">
        <f t="shared" si="775"/>
        <v>1</v>
      </c>
      <c r="V145" s="190">
        <f t="shared" si="776"/>
        <v>0</v>
      </c>
      <c r="W145" s="67">
        <f t="shared" si="777"/>
        <v>0</v>
      </c>
      <c r="X145" s="17"/>
      <c r="Y145" s="139">
        <f t="shared" ref="Y145:AB145" si="814">IFERROR(Y133/Y$48,0)</f>
        <v>2.927049931</v>
      </c>
      <c r="Z145" s="139">
        <f t="shared" si="814"/>
        <v>2.570734415</v>
      </c>
      <c r="AA145" s="216">
        <f t="shared" si="814"/>
        <v>2.673128754</v>
      </c>
      <c r="AB145" s="139">
        <f t="shared" si="814"/>
        <v>0</v>
      </c>
      <c r="AC145" s="17"/>
      <c r="AD145" s="190">
        <f t="shared" si="779"/>
        <v>-0.2539211774</v>
      </c>
      <c r="AE145" s="67">
        <f t="shared" si="780"/>
        <v>-0.0949902533</v>
      </c>
      <c r="AF145" s="190">
        <f t="shared" si="781"/>
        <v>-2.927049931</v>
      </c>
      <c r="AG145" s="67">
        <f t="shared" si="782"/>
        <v>0</v>
      </c>
      <c r="AH145" s="117"/>
      <c r="AI145" s="139">
        <f t="shared" ref="AI145:AU145" si="815">IFERROR(AI133/AI$48,0)</f>
        <v>0</v>
      </c>
      <c r="AJ145" s="139">
        <f t="shared" si="815"/>
        <v>0</v>
      </c>
      <c r="AK145" s="139">
        <f t="shared" si="815"/>
        <v>0</v>
      </c>
      <c r="AL145" s="139">
        <f t="shared" si="815"/>
        <v>0</v>
      </c>
      <c r="AM145" s="139">
        <f t="shared" si="815"/>
        <v>0</v>
      </c>
      <c r="AN145" s="139">
        <f t="shared" si="815"/>
        <v>0</v>
      </c>
      <c r="AO145" s="139">
        <f t="shared" si="815"/>
        <v>0</v>
      </c>
      <c r="AP145" s="139">
        <f t="shared" si="815"/>
        <v>0</v>
      </c>
      <c r="AQ145" s="139">
        <f t="shared" si="815"/>
        <v>0</v>
      </c>
      <c r="AR145" s="139">
        <f t="shared" si="815"/>
        <v>3.127477527</v>
      </c>
      <c r="AS145" s="139">
        <f t="shared" si="815"/>
        <v>2.734396629</v>
      </c>
      <c r="AT145" s="139">
        <f t="shared" si="815"/>
        <v>2.760470839</v>
      </c>
      <c r="AU145" s="140">
        <f t="shared" si="815"/>
        <v>2.927049931</v>
      </c>
      <c r="AV145" s="11"/>
      <c r="AW145" s="139">
        <f t="shared" ref="AW145:BI145" si="816">IFERROR(AW133/AW$48,0)</f>
        <v>0</v>
      </c>
      <c r="AX145" s="139">
        <f t="shared" si="816"/>
        <v>0</v>
      </c>
      <c r="AY145" s="139">
        <f t="shared" si="816"/>
        <v>0</v>
      </c>
      <c r="AZ145" s="139">
        <f t="shared" si="816"/>
        <v>0</v>
      </c>
      <c r="BA145" s="139">
        <f t="shared" si="816"/>
        <v>0</v>
      </c>
      <c r="BB145" s="139">
        <f t="shared" si="816"/>
        <v>0</v>
      </c>
      <c r="BC145" s="139">
        <f t="shared" si="816"/>
        <v>2.20662676</v>
      </c>
      <c r="BD145" s="139">
        <f t="shared" si="816"/>
        <v>1.82429325</v>
      </c>
      <c r="BE145" s="139">
        <f t="shared" si="816"/>
        <v>3.112705281</v>
      </c>
      <c r="BF145" s="139">
        <f t="shared" si="816"/>
        <v>3.127477527</v>
      </c>
      <c r="BG145" s="139">
        <f t="shared" si="816"/>
        <v>2.734396629</v>
      </c>
      <c r="BH145" s="139">
        <f t="shared" si="816"/>
        <v>2.760470839</v>
      </c>
      <c r="BI145" s="140">
        <f t="shared" si="816"/>
        <v>2.570734415</v>
      </c>
      <c r="BJ145" s="117"/>
      <c r="BK145" s="141">
        <v>2.3149</v>
      </c>
      <c r="BL145" s="141">
        <v>2.8425</v>
      </c>
      <c r="BM145" s="141">
        <v>2.3025</v>
      </c>
      <c r="BN145" s="141">
        <v>3.587</v>
      </c>
      <c r="BO145" s="141">
        <v>3.485</v>
      </c>
      <c r="BP145" s="141">
        <v>2.4941</v>
      </c>
      <c r="BQ145" s="141">
        <v>2.2066</v>
      </c>
      <c r="BR145" s="141">
        <v>1.8243</v>
      </c>
      <c r="BS145" s="141">
        <v>3.1127</v>
      </c>
      <c r="BT145" s="141">
        <v>3.1275</v>
      </c>
      <c r="BU145" s="141">
        <v>2.7344</v>
      </c>
      <c r="BV145" s="141">
        <v>2.7605</v>
      </c>
      <c r="BW145" s="142">
        <v>2.6731</v>
      </c>
      <c r="BX145" s="1"/>
      <c r="BY145" s="139"/>
      <c r="BZ145" s="139"/>
      <c r="CA145" s="139"/>
      <c r="CB145" s="139"/>
      <c r="CC145" s="139"/>
      <c r="CD145" s="139"/>
      <c r="CE145" s="139"/>
      <c r="CF145" s="139"/>
      <c r="CG145" s="139"/>
      <c r="CH145" s="139"/>
      <c r="CI145" s="139"/>
      <c r="CJ145" s="139"/>
      <c r="CK145" s="140"/>
      <c r="CL145" s="139"/>
      <c r="CM145" s="139"/>
      <c r="CN145" s="139"/>
      <c r="CO145" s="139"/>
      <c r="CP145" s="139"/>
      <c r="CQ145" s="139"/>
      <c r="CR145" s="139"/>
      <c r="CS145" s="139"/>
      <c r="CT145" s="139"/>
      <c r="CU145" s="139"/>
      <c r="CV145" s="139"/>
      <c r="CW145" s="139"/>
      <c r="CX145" s="139"/>
      <c r="CY145" s="140"/>
      <c r="CZ145" s="11"/>
      <c r="DA145" s="139">
        <f t="shared" si="785"/>
        <v>2.314876536</v>
      </c>
      <c r="DB145" s="139"/>
      <c r="DC145" s="139"/>
      <c r="DD145" s="139"/>
      <c r="DE145" s="139"/>
      <c r="DF145" s="139"/>
      <c r="DG145" s="139"/>
      <c r="DH145" s="139"/>
      <c r="DI145" s="139"/>
      <c r="DJ145" s="139"/>
      <c r="DK145" s="139"/>
      <c r="DL145" s="139"/>
      <c r="DM145" s="140">
        <f t="shared" si="786"/>
        <v>2.314876536</v>
      </c>
      <c r="DN145" s="1"/>
      <c r="DO145" s="132"/>
      <c r="DP145" s="132"/>
      <c r="DQ145" s="131"/>
    </row>
    <row r="146" outlineLevel="2">
      <c r="A146" s="15"/>
      <c r="B146" s="1" t="s">
        <v>138</v>
      </c>
      <c r="C146" s="15"/>
      <c r="D146" s="216">
        <f t="shared" ref="D146:G146" si="817">IFERROR(D134/D$48,0)</f>
        <v>0</v>
      </c>
      <c r="E146" s="216">
        <f t="shared" si="817"/>
        <v>0</v>
      </c>
      <c r="F146" s="216">
        <f t="shared" si="817"/>
        <v>9.999999847</v>
      </c>
      <c r="G146" s="216">
        <f t="shared" si="817"/>
        <v>0</v>
      </c>
      <c r="H146" s="217"/>
      <c r="I146" s="218">
        <f t="shared" si="767"/>
        <v>0</v>
      </c>
      <c r="J146" s="177">
        <f t="shared" si="768"/>
        <v>0</v>
      </c>
      <c r="K146" s="218">
        <f t="shared" si="769"/>
        <v>9.999999847</v>
      </c>
      <c r="L146" s="177">
        <f t="shared" si="770"/>
        <v>1</v>
      </c>
      <c r="M146" s="218">
        <f t="shared" si="771"/>
        <v>0</v>
      </c>
      <c r="N146" s="177">
        <f t="shared" si="772"/>
        <v>0</v>
      </c>
      <c r="O146" s="217"/>
      <c r="P146" s="216">
        <f t="shared" ref="P146:R146" si="818">IFERROR(P134/P$48,0)</f>
        <v>0</v>
      </c>
      <c r="Q146" s="216">
        <f t="shared" si="818"/>
        <v>10.00000012</v>
      </c>
      <c r="R146" s="216">
        <f t="shared" si="818"/>
        <v>0</v>
      </c>
      <c r="S146" s="17"/>
      <c r="T146" s="190">
        <f t="shared" si="774"/>
        <v>10.00000012</v>
      </c>
      <c r="U146" s="67">
        <f t="shared" si="775"/>
        <v>1</v>
      </c>
      <c r="V146" s="190">
        <f t="shared" si="776"/>
        <v>0</v>
      </c>
      <c r="W146" s="67">
        <f t="shared" si="777"/>
        <v>0</v>
      </c>
      <c r="X146" s="17"/>
      <c r="Y146" s="139">
        <f t="shared" ref="Y146:AB146" si="819">IFERROR(Y134/Y$48,0)</f>
        <v>10.00000022</v>
      </c>
      <c r="Z146" s="139">
        <f t="shared" si="819"/>
        <v>10.00000013</v>
      </c>
      <c r="AA146" s="216">
        <f t="shared" si="819"/>
        <v>9.999999887</v>
      </c>
      <c r="AB146" s="139">
        <f t="shared" si="819"/>
        <v>0</v>
      </c>
      <c r="AC146" s="17"/>
      <c r="AD146" s="190">
        <f t="shared" si="779"/>
        <v>-0.000000333378928</v>
      </c>
      <c r="AE146" s="67">
        <f t="shared" si="780"/>
        <v>-0.00000003333789318</v>
      </c>
      <c r="AF146" s="190">
        <f t="shared" si="781"/>
        <v>-10.00000022</v>
      </c>
      <c r="AG146" s="67">
        <f t="shared" si="782"/>
        <v>0</v>
      </c>
      <c r="AH146" s="117"/>
      <c r="AI146" s="139">
        <f t="shared" ref="AI146:AU146" si="820">IFERROR(AI134/AI$48,0)</f>
        <v>0</v>
      </c>
      <c r="AJ146" s="139">
        <f t="shared" si="820"/>
        <v>0</v>
      </c>
      <c r="AK146" s="139">
        <f t="shared" si="820"/>
        <v>0</v>
      </c>
      <c r="AL146" s="139">
        <f t="shared" si="820"/>
        <v>0</v>
      </c>
      <c r="AM146" s="139">
        <f t="shared" si="820"/>
        <v>0</v>
      </c>
      <c r="AN146" s="139">
        <f t="shared" si="820"/>
        <v>0</v>
      </c>
      <c r="AO146" s="139">
        <f t="shared" si="820"/>
        <v>0</v>
      </c>
      <c r="AP146" s="139">
        <f t="shared" si="820"/>
        <v>0</v>
      </c>
      <c r="AQ146" s="139">
        <f t="shared" si="820"/>
        <v>0</v>
      </c>
      <c r="AR146" s="139">
        <f t="shared" si="820"/>
        <v>10.00000023</v>
      </c>
      <c r="AS146" s="139">
        <f t="shared" si="820"/>
        <v>10</v>
      </c>
      <c r="AT146" s="139">
        <f t="shared" si="820"/>
        <v>10.00000039</v>
      </c>
      <c r="AU146" s="140">
        <f t="shared" si="820"/>
        <v>10.00000022</v>
      </c>
      <c r="AV146" s="11"/>
      <c r="AW146" s="139">
        <f t="shared" ref="AW146:BI146" si="821">IFERROR(AW134/AW$48,0)</f>
        <v>0</v>
      </c>
      <c r="AX146" s="139">
        <f t="shared" si="821"/>
        <v>0</v>
      </c>
      <c r="AY146" s="139">
        <f t="shared" si="821"/>
        <v>0</v>
      </c>
      <c r="AZ146" s="139">
        <f t="shared" si="821"/>
        <v>0</v>
      </c>
      <c r="BA146" s="139">
        <f t="shared" si="821"/>
        <v>0</v>
      </c>
      <c r="BB146" s="139">
        <f t="shared" si="821"/>
        <v>0</v>
      </c>
      <c r="BC146" s="139">
        <f t="shared" si="821"/>
        <v>9.999999905</v>
      </c>
      <c r="BD146" s="139">
        <f t="shared" si="821"/>
        <v>10.00000051</v>
      </c>
      <c r="BE146" s="139">
        <f t="shared" si="821"/>
        <v>9.999999768</v>
      </c>
      <c r="BF146" s="139">
        <f t="shared" si="821"/>
        <v>10.00000023</v>
      </c>
      <c r="BG146" s="139">
        <f t="shared" si="821"/>
        <v>10</v>
      </c>
      <c r="BH146" s="139">
        <f t="shared" si="821"/>
        <v>10.00000039</v>
      </c>
      <c r="BI146" s="140">
        <f t="shared" si="821"/>
        <v>10.00000013</v>
      </c>
      <c r="BJ146" s="117"/>
      <c r="BK146" s="141">
        <v>10.0</v>
      </c>
      <c r="BL146" s="141">
        <v>10.0</v>
      </c>
      <c r="BM146" s="141">
        <v>10.0</v>
      </c>
      <c r="BN146" s="141">
        <v>10.0</v>
      </c>
      <c r="BO146" s="141">
        <v>10.0</v>
      </c>
      <c r="BP146" s="141">
        <v>10.0</v>
      </c>
      <c r="BQ146" s="141">
        <v>10.0</v>
      </c>
      <c r="BR146" s="141">
        <v>10.0</v>
      </c>
      <c r="BS146" s="141">
        <v>10.0</v>
      </c>
      <c r="BT146" s="141">
        <v>10.0</v>
      </c>
      <c r="BU146" s="141">
        <v>10.0</v>
      </c>
      <c r="BV146" s="141">
        <v>10.0</v>
      </c>
      <c r="BW146" s="142">
        <v>10.0</v>
      </c>
      <c r="BX146" s="1"/>
      <c r="BY146" s="139"/>
      <c r="BZ146" s="139"/>
      <c r="CA146" s="139"/>
      <c r="CB146" s="139"/>
      <c r="CC146" s="139"/>
      <c r="CD146" s="139"/>
      <c r="CE146" s="139"/>
      <c r="CF146" s="139"/>
      <c r="CG146" s="139"/>
      <c r="CH146" s="139"/>
      <c r="CI146" s="139"/>
      <c r="CJ146" s="139"/>
      <c r="CK146" s="140"/>
      <c r="CL146" s="139"/>
      <c r="CM146" s="139"/>
      <c r="CN146" s="139"/>
      <c r="CO146" s="139"/>
      <c r="CP146" s="139"/>
      <c r="CQ146" s="139"/>
      <c r="CR146" s="139"/>
      <c r="CS146" s="139"/>
      <c r="CT146" s="139"/>
      <c r="CU146" s="139"/>
      <c r="CV146" s="139"/>
      <c r="CW146" s="139"/>
      <c r="CX146" s="139"/>
      <c r="CY146" s="140"/>
      <c r="CZ146" s="11"/>
      <c r="DA146" s="139">
        <f t="shared" si="785"/>
        <v>10.00000016</v>
      </c>
      <c r="DB146" s="139"/>
      <c r="DC146" s="139"/>
      <c r="DD146" s="139"/>
      <c r="DE146" s="139"/>
      <c r="DF146" s="139"/>
      <c r="DG146" s="139"/>
      <c r="DH146" s="139"/>
      <c r="DI146" s="139"/>
      <c r="DJ146" s="139"/>
      <c r="DK146" s="139"/>
      <c r="DL146" s="139"/>
      <c r="DM146" s="140">
        <f t="shared" si="786"/>
        <v>10.00000016</v>
      </c>
      <c r="DN146" s="1"/>
      <c r="DO146" s="132"/>
      <c r="DP146" s="132"/>
      <c r="DQ146" s="131"/>
    </row>
    <row r="147" outlineLevel="1">
      <c r="A147" s="15"/>
      <c r="B147" s="152" t="s">
        <v>139</v>
      </c>
      <c r="C147" s="124"/>
      <c r="D147" s="220">
        <f t="shared" ref="D147:G147" si="822">SUM(D138:D146)</f>
        <v>0</v>
      </c>
      <c r="E147" s="220">
        <f t="shared" si="822"/>
        <v>0</v>
      </c>
      <c r="F147" s="220">
        <f t="shared" si="822"/>
        <v>45.45707949</v>
      </c>
      <c r="G147" s="220">
        <f t="shared" si="822"/>
        <v>0</v>
      </c>
      <c r="H147" s="219"/>
      <c r="I147" s="218">
        <f t="shared" si="767"/>
        <v>0</v>
      </c>
      <c r="J147" s="221">
        <f t="shared" si="768"/>
        <v>0</v>
      </c>
      <c r="K147" s="218">
        <f t="shared" si="769"/>
        <v>45.45707949</v>
      </c>
      <c r="L147" s="221">
        <f t="shared" si="770"/>
        <v>1</v>
      </c>
      <c r="M147" s="218">
        <f t="shared" si="771"/>
        <v>0</v>
      </c>
      <c r="N147" s="221">
        <f t="shared" si="772"/>
        <v>0</v>
      </c>
      <c r="O147" s="219"/>
      <c r="P147" s="220">
        <f t="shared" ref="P147:R147" si="823">SUM(P138:P146)</f>
        <v>0</v>
      </c>
      <c r="Q147" s="220">
        <f t="shared" si="823"/>
        <v>49.38301251</v>
      </c>
      <c r="R147" s="220">
        <f t="shared" si="823"/>
        <v>0</v>
      </c>
      <c r="S147" s="125"/>
      <c r="T147" s="190">
        <f t="shared" si="774"/>
        <v>49.38301251</v>
      </c>
      <c r="U147" s="60">
        <f t="shared" si="775"/>
        <v>1</v>
      </c>
      <c r="V147" s="190">
        <f t="shared" si="776"/>
        <v>0</v>
      </c>
      <c r="W147" s="60">
        <f t="shared" si="777"/>
        <v>0</v>
      </c>
      <c r="X147" s="125"/>
      <c r="Y147" s="140">
        <f t="shared" ref="Y147:AB147" si="824">SUM(Y138:Y146)</f>
        <v>44.71757886</v>
      </c>
      <c r="Z147" s="140">
        <f t="shared" si="824"/>
        <v>41.9405042</v>
      </c>
      <c r="AA147" s="220">
        <f t="shared" si="824"/>
        <v>44.99324248</v>
      </c>
      <c r="AB147" s="140">
        <f t="shared" si="824"/>
        <v>0</v>
      </c>
      <c r="AC147" s="125"/>
      <c r="AD147" s="190">
        <f t="shared" si="779"/>
        <v>0.2756636214</v>
      </c>
      <c r="AE147" s="60">
        <f t="shared" si="780"/>
        <v>0.006126778295</v>
      </c>
      <c r="AF147" s="190">
        <f t="shared" si="781"/>
        <v>-44.71757886</v>
      </c>
      <c r="AG147" s="60">
        <f t="shared" si="782"/>
        <v>0</v>
      </c>
      <c r="AH147" s="134"/>
      <c r="AI147" s="140">
        <f t="shared" ref="AI147:AU147" si="825">SUM(AI138:AI146)</f>
        <v>0</v>
      </c>
      <c r="AJ147" s="140">
        <f t="shared" si="825"/>
        <v>0</v>
      </c>
      <c r="AK147" s="140">
        <f t="shared" si="825"/>
        <v>0</v>
      </c>
      <c r="AL147" s="140">
        <f t="shared" si="825"/>
        <v>0</v>
      </c>
      <c r="AM147" s="140">
        <f t="shared" si="825"/>
        <v>0</v>
      </c>
      <c r="AN147" s="140">
        <f t="shared" si="825"/>
        <v>0</v>
      </c>
      <c r="AO147" s="140">
        <f t="shared" si="825"/>
        <v>0</v>
      </c>
      <c r="AP147" s="140">
        <f t="shared" si="825"/>
        <v>0</v>
      </c>
      <c r="AQ147" s="140">
        <f t="shared" si="825"/>
        <v>0</v>
      </c>
      <c r="AR147" s="140">
        <f t="shared" si="825"/>
        <v>43.47897704</v>
      </c>
      <c r="AS147" s="140">
        <f t="shared" si="825"/>
        <v>45.44435056</v>
      </c>
      <c r="AT147" s="140">
        <f t="shared" si="825"/>
        <v>46.14869612</v>
      </c>
      <c r="AU147" s="140">
        <f t="shared" si="825"/>
        <v>44.71757886</v>
      </c>
      <c r="AV147" s="127"/>
      <c r="AW147" s="140">
        <f t="shared" ref="AW147:BI147" si="826">SUM(AW138:AW146)</f>
        <v>0</v>
      </c>
      <c r="AX147" s="140">
        <f t="shared" si="826"/>
        <v>0</v>
      </c>
      <c r="AY147" s="140">
        <f t="shared" si="826"/>
        <v>0</v>
      </c>
      <c r="AZ147" s="140">
        <f t="shared" si="826"/>
        <v>0</v>
      </c>
      <c r="BA147" s="140">
        <f t="shared" si="826"/>
        <v>0</v>
      </c>
      <c r="BB147" s="140">
        <f t="shared" si="826"/>
        <v>0</v>
      </c>
      <c r="BC147" s="140">
        <f t="shared" si="826"/>
        <v>38.78744023</v>
      </c>
      <c r="BD147" s="140">
        <f t="shared" si="826"/>
        <v>39.05758889</v>
      </c>
      <c r="BE147" s="140">
        <f t="shared" si="826"/>
        <v>43.22137707</v>
      </c>
      <c r="BF147" s="140">
        <f t="shared" si="826"/>
        <v>43.47897704</v>
      </c>
      <c r="BG147" s="140">
        <f t="shared" si="826"/>
        <v>45.44435056</v>
      </c>
      <c r="BH147" s="140">
        <f t="shared" si="826"/>
        <v>46.14869612</v>
      </c>
      <c r="BI147" s="140">
        <f t="shared" si="826"/>
        <v>41.9405042</v>
      </c>
      <c r="BJ147" s="134"/>
      <c r="BK147" s="142">
        <v>44.8902</v>
      </c>
      <c r="BL147" s="142">
        <v>52.6045</v>
      </c>
      <c r="BM147" s="142">
        <v>48.0476</v>
      </c>
      <c r="BN147" s="142">
        <v>53.2823</v>
      </c>
      <c r="BO147" s="142">
        <v>53.2422</v>
      </c>
      <c r="BP147" s="142">
        <v>45.4571</v>
      </c>
      <c r="BQ147" s="142">
        <v>38.7874</v>
      </c>
      <c r="BR147" s="142">
        <v>39.0576</v>
      </c>
      <c r="BS147" s="142">
        <v>43.2214</v>
      </c>
      <c r="BT147" s="142">
        <v>43.479</v>
      </c>
      <c r="BU147" s="142">
        <v>45.4444</v>
      </c>
      <c r="BV147" s="142">
        <v>46.1487</v>
      </c>
      <c r="BW147" s="142">
        <v>44.9932</v>
      </c>
      <c r="BX147" s="1"/>
      <c r="BY147" s="140"/>
      <c r="BZ147" s="140"/>
      <c r="CA147" s="140"/>
      <c r="CB147" s="140"/>
      <c r="CC147" s="140"/>
      <c r="CD147" s="140"/>
      <c r="CE147" s="140"/>
      <c r="CF147" s="140"/>
      <c r="CG147" s="140"/>
      <c r="CH147" s="140"/>
      <c r="CI147" s="140"/>
      <c r="CJ147" s="140"/>
      <c r="CK147" s="140"/>
      <c r="CL147" s="140"/>
      <c r="CM147" s="140"/>
      <c r="CN147" s="140"/>
      <c r="CO147" s="140"/>
      <c r="CP147" s="140"/>
      <c r="CQ147" s="140"/>
      <c r="CR147" s="140"/>
      <c r="CS147" s="140"/>
      <c r="CT147" s="140"/>
      <c r="CU147" s="140"/>
      <c r="CV147" s="140"/>
      <c r="CW147" s="140"/>
      <c r="CX147" s="140"/>
      <c r="CY147" s="140"/>
      <c r="CZ147" s="11"/>
      <c r="DA147" s="140">
        <f>SUM(DA138:DA146)</f>
        <v>44.89021038</v>
      </c>
      <c r="DB147" s="140"/>
      <c r="DC147" s="140"/>
      <c r="DD147" s="140"/>
      <c r="DE147" s="140"/>
      <c r="DF147" s="140"/>
      <c r="DG147" s="140"/>
      <c r="DH147" s="140"/>
      <c r="DI147" s="140"/>
      <c r="DJ147" s="140"/>
      <c r="DK147" s="140"/>
      <c r="DL147" s="140"/>
      <c r="DM147" s="140">
        <f>SUM(DM138:DM146)</f>
        <v>44.89021038</v>
      </c>
      <c r="DN147" s="1"/>
      <c r="DO147" s="132"/>
      <c r="DP147" s="132"/>
      <c r="DQ147" s="131"/>
    </row>
    <row r="148">
      <c r="A148" s="15"/>
      <c r="B148" s="124"/>
      <c r="C148" s="124"/>
      <c r="D148" s="125"/>
      <c r="E148" s="125"/>
      <c r="F148" s="125"/>
      <c r="G148" s="125"/>
      <c r="H148" s="125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6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161"/>
      <c r="AV148" s="12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161"/>
      <c r="BJ148" s="126"/>
      <c r="BK148" s="47"/>
      <c r="BL148" s="47"/>
      <c r="BM148" s="47"/>
      <c r="BN148" s="47"/>
      <c r="BO148" s="47"/>
      <c r="BP148" s="47"/>
      <c r="BQ148" s="47"/>
      <c r="BR148" s="47"/>
      <c r="BS148" s="47"/>
      <c r="BT148" s="47"/>
      <c r="BU148" s="47"/>
      <c r="BV148" s="47"/>
      <c r="BW148" s="161"/>
      <c r="BX148" s="1"/>
      <c r="BY148" s="47"/>
      <c r="BZ148" s="47"/>
      <c r="CA148" s="47"/>
      <c r="CB148" s="47"/>
      <c r="CC148" s="47"/>
      <c r="CD148" s="47"/>
      <c r="CE148" s="47"/>
      <c r="CF148" s="47"/>
      <c r="CG148" s="47"/>
      <c r="CH148" s="47"/>
      <c r="CI148" s="47"/>
      <c r="CJ148" s="47"/>
      <c r="CK148" s="161"/>
      <c r="CL148" s="47"/>
      <c r="CM148" s="47"/>
      <c r="CN148" s="47"/>
      <c r="CO148" s="47"/>
      <c r="CP148" s="47"/>
      <c r="CQ148" s="47"/>
      <c r="CR148" s="47"/>
      <c r="CS148" s="47"/>
      <c r="CT148" s="47"/>
      <c r="CU148" s="47"/>
      <c r="CV148" s="47"/>
      <c r="CW148" s="47"/>
      <c r="CX148" s="47"/>
      <c r="CY148" s="161"/>
      <c r="CZ148" s="11"/>
      <c r="DA148" s="95"/>
      <c r="DB148" s="95"/>
      <c r="DC148" s="95"/>
      <c r="DD148" s="95"/>
      <c r="DE148" s="95"/>
      <c r="DF148" s="95"/>
      <c r="DG148" s="95"/>
      <c r="DH148" s="95"/>
      <c r="DI148" s="95"/>
      <c r="DJ148" s="95"/>
      <c r="DK148" s="95"/>
      <c r="DL148" s="95"/>
      <c r="DM148" s="162"/>
      <c r="DN148" s="1"/>
      <c r="DO148" s="150"/>
      <c r="DP148" s="150"/>
      <c r="DQ148" s="131"/>
    </row>
    <row r="149">
      <c r="A149" s="105">
        <v>4.0</v>
      </c>
      <c r="B149" s="152" t="s">
        <v>141</v>
      </c>
      <c r="C149" s="124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34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161"/>
      <c r="AV149" s="12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161"/>
      <c r="BJ149" s="134"/>
      <c r="BK149" s="47"/>
      <c r="BL149" s="47"/>
      <c r="BM149" s="47"/>
      <c r="BN149" s="47"/>
      <c r="BO149" s="47"/>
      <c r="BP149" s="47"/>
      <c r="BQ149" s="47"/>
      <c r="BR149" s="47"/>
      <c r="BS149" s="47"/>
      <c r="BT149" s="47"/>
      <c r="BU149" s="47"/>
      <c r="BV149" s="47"/>
      <c r="BW149" s="161"/>
      <c r="BX149" s="1"/>
      <c r="BY149" s="47"/>
      <c r="BZ149" s="47"/>
      <c r="CA149" s="47"/>
      <c r="CB149" s="47"/>
      <c r="CC149" s="47"/>
      <c r="CD149" s="47"/>
      <c r="CE149" s="47"/>
      <c r="CF149" s="47"/>
      <c r="CG149" s="47"/>
      <c r="CH149" s="47"/>
      <c r="CI149" s="47"/>
      <c r="CJ149" s="47"/>
      <c r="CK149" s="161"/>
      <c r="CL149" s="47"/>
      <c r="CM149" s="47"/>
      <c r="CN149" s="47"/>
      <c r="CO149" s="47"/>
      <c r="CP149" s="47"/>
      <c r="CQ149" s="47"/>
      <c r="CR149" s="47"/>
      <c r="CS149" s="47"/>
      <c r="CT149" s="47"/>
      <c r="CU149" s="47"/>
      <c r="CV149" s="47"/>
      <c r="CW149" s="47"/>
      <c r="CX149" s="47"/>
      <c r="CY149" s="161"/>
      <c r="CZ149" s="11"/>
      <c r="DA149" s="95"/>
      <c r="DB149" s="95"/>
      <c r="DC149" s="95"/>
      <c r="DD149" s="95"/>
      <c r="DE149" s="95"/>
      <c r="DF149" s="95"/>
      <c r="DG149" s="95"/>
      <c r="DH149" s="95"/>
      <c r="DI149" s="95"/>
      <c r="DJ149" s="95"/>
      <c r="DK149" s="95"/>
      <c r="DL149" s="95"/>
      <c r="DM149" s="162"/>
      <c r="DN149" s="1"/>
      <c r="DO149" s="150"/>
      <c r="DP149" s="150"/>
      <c r="DQ149" s="131"/>
    </row>
    <row r="150" outlineLevel="2">
      <c r="A150" s="15"/>
      <c r="B150" s="152" t="s">
        <v>142</v>
      </c>
      <c r="C150" s="124"/>
      <c r="D150" s="65">
        <f t="shared" ref="D150:D151" si="829">SUMIFS($CM150:$CX150,$CM$35:$CX$35,$D$2)</f>
        <v>0</v>
      </c>
      <c r="E150" s="65">
        <f t="shared" ref="E150:E151" si="830">SUMIFS($DA150:$DM150,$DA$35:$DM$35,$D$2)</f>
        <v>0</v>
      </c>
      <c r="F150" s="65">
        <f t="shared" ref="F150:F151" si="831">SUMIFS($BK150:$BV150,$BK$35:$BV$35,$D$2)</f>
        <v>68</v>
      </c>
      <c r="G150" s="65">
        <f t="shared" ref="G150:G151" si="832">SUMIFS($BY150:$CJ150,$BY$35:$CJ$35,$D$2)</f>
        <v>0</v>
      </c>
      <c r="H150" s="48"/>
      <c r="I150" s="75">
        <f t="shared" ref="I150:I157" si="833">E150-D150</f>
        <v>0</v>
      </c>
      <c r="J150" s="60">
        <f t="shared" ref="J150:J157" si="834">IFERROR(I150/ABS(E150),0)</f>
        <v>0</v>
      </c>
      <c r="K150" s="75">
        <f t="shared" ref="K150:K157" si="835">F150-D150</f>
        <v>68</v>
      </c>
      <c r="L150" s="60">
        <f t="shared" ref="L150:L157" si="836">IFERROR(K150/ABS(F150),0)</f>
        <v>1</v>
      </c>
      <c r="M150" s="75">
        <f t="shared" ref="M150:M157" si="837">G150-D150</f>
        <v>0</v>
      </c>
      <c r="N150" s="60">
        <f t="shared" ref="N150:N157" si="838">IFERROR(M150/ABS(G150),0)</f>
        <v>0</v>
      </c>
      <c r="O150" s="48"/>
      <c r="P150" s="222">
        <f>SUMIFS($CM150:$CX150,$CM$35:$CX$35,$P$2)/D2</f>
        <v>0</v>
      </c>
      <c r="Q150" s="65">
        <f>SUMIFS($BK150:$BV150,$BK$35:$BV$35,$P$2)/D2</f>
        <v>67.16666667</v>
      </c>
      <c r="R150" s="65">
        <f>SUMIFS($BY150:$CJ150,$BY$35:$CJ$35,$P$2)/D2</f>
        <v>0</v>
      </c>
      <c r="S150" s="48"/>
      <c r="T150" s="75">
        <f t="shared" ref="T150:T157" si="839">Q150-P150</f>
        <v>67.16666667</v>
      </c>
      <c r="U150" s="60">
        <f t="shared" ref="U150:U157" si="840">IFERROR(T150/ABS(Q150),0)</f>
        <v>1</v>
      </c>
      <c r="V150" s="75">
        <f t="shared" ref="V150:V157" si="841">R150-P150</f>
        <v>0</v>
      </c>
      <c r="W150" s="60">
        <f t="shared" ref="W150:W157" si="842">IFERROR(V150/ABS(R150),0)</f>
        <v>0</v>
      </c>
      <c r="X150" s="48"/>
      <c r="Y150" s="65">
        <f t="shared" ref="Y150:Y151" si="843">$AU150</f>
        <v>18.25</v>
      </c>
      <c r="Z150" s="65">
        <f t="shared" ref="Z150:Z151" si="844">$BI150</f>
        <v>36.5</v>
      </c>
      <c r="AA150" s="65">
        <f t="shared" ref="AA150:AA151" si="845">$BW150</f>
        <v>70.0833</v>
      </c>
      <c r="AB150" s="95" t="str">
        <f t="shared" ref="AB150:AB151" si="846">$CK150</f>
        <v/>
      </c>
      <c r="AC150" s="125"/>
      <c r="AD150" s="75">
        <f t="shared" ref="AD150:AD157" si="847">AA150-Y150</f>
        <v>51.8333</v>
      </c>
      <c r="AE150" s="60">
        <f t="shared" ref="AE150:AE157" si="848">IFERROR(AD150/ABS(AA150),0)</f>
        <v>0.7395955955</v>
      </c>
      <c r="AF150" s="75">
        <f t="shared" ref="AF150:AF157" si="849">AB150-Y150</f>
        <v>-18.25</v>
      </c>
      <c r="AG150" s="60">
        <f t="shared" ref="AG150:AG157" si="850">IFERROR(AF150/ABS(AB150),0)</f>
        <v>0</v>
      </c>
      <c r="AH150" s="134"/>
      <c r="AI150" s="47" t="str">
        <f t="shared" ref="AI150:AI151" si="851">IFERROR(IF(AI$3="A",CM150,IF(AI$3="F",DA150)),0)</f>
        <v/>
      </c>
      <c r="AJ150" s="47" t="str">
        <f t="shared" ref="AJ150:AT150" si="827">IFERROR(IF(AJ$3="A",CN150,IF(AJ$3="F",DB150,IF(AJ$3="B",BL150,0))),"")</f>
        <v/>
      </c>
      <c r="AK150" s="47" t="str">
        <f t="shared" si="827"/>
        <v/>
      </c>
      <c r="AL150" s="47" t="str">
        <f t="shared" si="827"/>
        <v/>
      </c>
      <c r="AM150" s="47" t="str">
        <f t="shared" si="827"/>
        <v/>
      </c>
      <c r="AN150" s="47" t="str">
        <f t="shared" si="827"/>
        <v/>
      </c>
      <c r="AO150" s="47" t="str">
        <f t="shared" si="827"/>
        <v/>
      </c>
      <c r="AP150" s="47" t="str">
        <f t="shared" si="827"/>
        <v/>
      </c>
      <c r="AQ150" s="47" t="str">
        <f t="shared" si="827"/>
        <v/>
      </c>
      <c r="AR150" s="47">
        <f t="shared" si="827"/>
        <v>73</v>
      </c>
      <c r="AS150" s="47">
        <f t="shared" si="827"/>
        <v>73</v>
      </c>
      <c r="AT150" s="47">
        <f t="shared" si="827"/>
        <v>73</v>
      </c>
      <c r="AU150" s="65">
        <f>IFERROR(SUM(AI150:AT150)/12,0)</f>
        <v>18.25</v>
      </c>
      <c r="AV150" s="127"/>
      <c r="AW150" s="47" t="str">
        <f t="shared" ref="AW150:BH150" si="828">IFERROR(IF(AW$3="A",CM150,IF(AW$3="B",BK150)),0)</f>
        <v/>
      </c>
      <c r="AX150" s="47" t="str">
        <f t="shared" si="828"/>
        <v/>
      </c>
      <c r="AY150" s="47" t="str">
        <f t="shared" si="828"/>
        <v/>
      </c>
      <c r="AZ150" s="47" t="str">
        <f t="shared" si="828"/>
        <v/>
      </c>
      <c r="BA150" s="47" t="str">
        <f t="shared" si="828"/>
        <v/>
      </c>
      <c r="BB150" s="47" t="str">
        <f t="shared" si="828"/>
        <v/>
      </c>
      <c r="BC150" s="47">
        <f t="shared" si="828"/>
        <v>73</v>
      </c>
      <c r="BD150" s="47">
        <f t="shared" si="828"/>
        <v>73</v>
      </c>
      <c r="BE150" s="47">
        <f t="shared" si="828"/>
        <v>73</v>
      </c>
      <c r="BF150" s="47">
        <f t="shared" si="828"/>
        <v>73</v>
      </c>
      <c r="BG150" s="47">
        <f t="shared" si="828"/>
        <v>73</v>
      </c>
      <c r="BH150" s="47">
        <f t="shared" si="828"/>
        <v>73</v>
      </c>
      <c r="BI150" s="65">
        <f>IFERROR(SUM(AW150:BH150)/12,0)</f>
        <v>36.5</v>
      </c>
      <c r="BJ150" s="134"/>
      <c r="BK150" s="128">
        <v>67.0</v>
      </c>
      <c r="BL150" s="128">
        <v>67.0</v>
      </c>
      <c r="BM150" s="128">
        <v>67.0</v>
      </c>
      <c r="BN150" s="128">
        <v>67.0</v>
      </c>
      <c r="BO150" s="128">
        <v>67.0</v>
      </c>
      <c r="BP150" s="128">
        <v>68.0</v>
      </c>
      <c r="BQ150" s="128">
        <v>73.0</v>
      </c>
      <c r="BR150" s="128">
        <v>73.0</v>
      </c>
      <c r="BS150" s="128">
        <v>73.0</v>
      </c>
      <c r="BT150" s="128">
        <v>73.0</v>
      </c>
      <c r="BU150" s="128">
        <v>73.0</v>
      </c>
      <c r="BV150" s="128">
        <v>73.0</v>
      </c>
      <c r="BW150" s="129">
        <v>70.0833</v>
      </c>
      <c r="BX150" s="1"/>
      <c r="BY150" s="47"/>
      <c r="BZ150" s="47"/>
      <c r="CA150" s="47"/>
      <c r="CB150" s="47"/>
      <c r="CC150" s="47"/>
      <c r="CD150" s="47"/>
      <c r="CE150" s="47"/>
      <c r="CF150" s="47"/>
      <c r="CG150" s="47"/>
      <c r="CH150" s="47"/>
      <c r="CI150" s="47"/>
      <c r="CJ150" s="47"/>
      <c r="CK150" s="65"/>
      <c r="CL150" s="65"/>
      <c r="CM150" s="47"/>
      <c r="CN150" s="47"/>
      <c r="CO150" s="47"/>
      <c r="CP150" s="47"/>
      <c r="CQ150" s="47"/>
      <c r="CR150" s="47"/>
      <c r="CS150" s="47"/>
      <c r="CT150" s="47"/>
      <c r="CU150" s="47"/>
      <c r="CV150" s="47"/>
      <c r="CW150" s="47"/>
      <c r="CX150" s="47"/>
      <c r="CY150" s="65"/>
      <c r="CZ150" s="11"/>
      <c r="DA150" s="65">
        <f t="shared" ref="DA150:DA151" si="854">BK150</f>
        <v>67</v>
      </c>
      <c r="DB150" s="65"/>
      <c r="DC150" s="65"/>
      <c r="DD150" s="65"/>
      <c r="DE150" s="47"/>
      <c r="DF150" s="47"/>
      <c r="DG150" s="47"/>
      <c r="DH150" s="47"/>
      <c r="DI150" s="47"/>
      <c r="DJ150" s="47"/>
      <c r="DK150" s="47"/>
      <c r="DL150" s="47"/>
      <c r="DM150" s="65">
        <f>IFERROR(SUM(DA150:DL150)/12,0)</f>
        <v>5.583333333</v>
      </c>
      <c r="DN150" s="1"/>
      <c r="DO150" s="223"/>
      <c r="DP150" s="223"/>
      <c r="DQ150" s="131"/>
    </row>
    <row r="151" outlineLevel="2">
      <c r="A151" s="15"/>
      <c r="B151" s="123" t="s">
        <v>143</v>
      </c>
      <c r="C151" s="124"/>
      <c r="D151" s="47">
        <f t="shared" si="829"/>
        <v>0</v>
      </c>
      <c r="E151" s="47">
        <f t="shared" si="830"/>
        <v>0</v>
      </c>
      <c r="F151" s="47">
        <f t="shared" si="831"/>
        <v>29419.521</v>
      </c>
      <c r="G151" s="47">
        <f t="shared" si="832"/>
        <v>0</v>
      </c>
      <c r="H151" s="48"/>
      <c r="I151" s="66">
        <f t="shared" si="833"/>
        <v>0</v>
      </c>
      <c r="J151" s="67">
        <f t="shared" si="834"/>
        <v>0</v>
      </c>
      <c r="K151" s="66">
        <f t="shared" si="835"/>
        <v>29419.521</v>
      </c>
      <c r="L151" s="67">
        <f t="shared" si="836"/>
        <v>1</v>
      </c>
      <c r="M151" s="66">
        <f t="shared" si="837"/>
        <v>0</v>
      </c>
      <c r="N151" s="67">
        <f t="shared" si="838"/>
        <v>0</v>
      </c>
      <c r="O151" s="48"/>
      <c r="P151" s="47">
        <f>SUMIFS($CM151:$CX151,$CM$35:$CX$35,$P$2)</f>
        <v>0</v>
      </c>
      <c r="Q151" s="47">
        <f>SUMIFS($BK151:$BV151,$BK$35:$BV$35,$P$2)</f>
        <v>176856.784</v>
      </c>
      <c r="R151" s="47">
        <f>SUMIFS($BY151:$CJ151,$BY$35:$CJ$35,$P$2)</f>
        <v>0</v>
      </c>
      <c r="S151" s="48"/>
      <c r="T151" s="66">
        <f t="shared" si="839"/>
        <v>176856.784</v>
      </c>
      <c r="U151" s="67">
        <f t="shared" si="840"/>
        <v>1</v>
      </c>
      <c r="V151" s="66">
        <f t="shared" si="841"/>
        <v>0</v>
      </c>
      <c r="W151" s="67">
        <f t="shared" si="842"/>
        <v>0</v>
      </c>
      <c r="X151" s="48"/>
      <c r="Y151" s="47">
        <f t="shared" si="843"/>
        <v>92384.682</v>
      </c>
      <c r="Z151" s="47">
        <f t="shared" si="844"/>
        <v>184769.364</v>
      </c>
      <c r="AA151" s="47">
        <f t="shared" si="845"/>
        <v>361626.148</v>
      </c>
      <c r="AB151" s="95" t="str">
        <f t="shared" si="846"/>
        <v/>
      </c>
      <c r="AC151" s="125"/>
      <c r="AD151" s="66">
        <f t="shared" si="847"/>
        <v>269241.466</v>
      </c>
      <c r="AE151" s="67">
        <f t="shared" si="848"/>
        <v>0.7445298618</v>
      </c>
      <c r="AF151" s="66">
        <f t="shared" si="849"/>
        <v>-92384.682</v>
      </c>
      <c r="AG151" s="67">
        <f t="shared" si="850"/>
        <v>0</v>
      </c>
      <c r="AH151" s="126"/>
      <c r="AI151" s="47" t="str">
        <f t="shared" si="851"/>
        <v/>
      </c>
      <c r="AJ151" s="47" t="str">
        <f t="shared" ref="AJ151:AT151" si="852">IFERROR(IF(AJ$3="A",CN151,IF(AJ$3="F",DB151,IF(AJ$3="B",BL151,0))),"")</f>
        <v/>
      </c>
      <c r="AK151" s="47" t="str">
        <f t="shared" si="852"/>
        <v/>
      </c>
      <c r="AL151" s="47" t="str">
        <f t="shared" si="852"/>
        <v/>
      </c>
      <c r="AM151" s="47" t="str">
        <f t="shared" si="852"/>
        <v/>
      </c>
      <c r="AN151" s="47" t="str">
        <f t="shared" si="852"/>
        <v/>
      </c>
      <c r="AO151" s="47" t="str">
        <f t="shared" si="852"/>
        <v/>
      </c>
      <c r="AP151" s="47" t="str">
        <f t="shared" si="852"/>
        <v/>
      </c>
      <c r="AQ151" s="47" t="str">
        <f t="shared" si="852"/>
        <v/>
      </c>
      <c r="AR151" s="47">
        <f t="shared" si="852"/>
        <v>30794.894</v>
      </c>
      <c r="AS151" s="47">
        <f t="shared" si="852"/>
        <v>30794.894</v>
      </c>
      <c r="AT151" s="47">
        <f t="shared" si="852"/>
        <v>30794.894</v>
      </c>
      <c r="AU151" s="65">
        <f>SUM(AI151:AT151)</f>
        <v>92384.682</v>
      </c>
      <c r="AV151" s="127"/>
      <c r="AW151" s="47" t="str">
        <f t="shared" ref="AW151:BH151" si="853">IFERROR(IF(AW$3="A",CM151,IF(AW$3="B",BK151)),0)</f>
        <v/>
      </c>
      <c r="AX151" s="47" t="str">
        <f t="shared" si="853"/>
        <v/>
      </c>
      <c r="AY151" s="47" t="str">
        <f t="shared" si="853"/>
        <v/>
      </c>
      <c r="AZ151" s="47" t="str">
        <f t="shared" si="853"/>
        <v/>
      </c>
      <c r="BA151" s="47" t="str">
        <f t="shared" si="853"/>
        <v/>
      </c>
      <c r="BB151" s="47" t="str">
        <f t="shared" si="853"/>
        <v/>
      </c>
      <c r="BC151" s="47">
        <f t="shared" si="853"/>
        <v>30794.894</v>
      </c>
      <c r="BD151" s="47">
        <f t="shared" si="853"/>
        <v>30794.894</v>
      </c>
      <c r="BE151" s="47">
        <f t="shared" si="853"/>
        <v>30794.894</v>
      </c>
      <c r="BF151" s="47">
        <f t="shared" si="853"/>
        <v>30794.894</v>
      </c>
      <c r="BG151" s="47">
        <f t="shared" si="853"/>
        <v>30794.894</v>
      </c>
      <c r="BH151" s="47">
        <f t="shared" si="853"/>
        <v>30794.894</v>
      </c>
      <c r="BI151" s="65">
        <f>SUM(AW151:BH151)</f>
        <v>184769.364</v>
      </c>
      <c r="BJ151" s="126"/>
      <c r="BK151" s="128">
        <v>29376.854</v>
      </c>
      <c r="BL151" s="128">
        <v>29376.854</v>
      </c>
      <c r="BM151" s="128">
        <v>29376.854</v>
      </c>
      <c r="BN151" s="128">
        <v>29376.854</v>
      </c>
      <c r="BO151" s="128">
        <v>29929.847</v>
      </c>
      <c r="BP151" s="128">
        <v>29419.521</v>
      </c>
      <c r="BQ151" s="128">
        <v>30794.894</v>
      </c>
      <c r="BR151" s="128">
        <v>30794.894</v>
      </c>
      <c r="BS151" s="128">
        <v>30794.894</v>
      </c>
      <c r="BT151" s="128">
        <v>30794.894</v>
      </c>
      <c r="BU151" s="128">
        <v>30794.894</v>
      </c>
      <c r="BV151" s="128">
        <v>30794.894</v>
      </c>
      <c r="BW151" s="129">
        <v>361626.148</v>
      </c>
      <c r="BX151" s="1"/>
      <c r="BY151" s="47"/>
      <c r="BZ151" s="47"/>
      <c r="CA151" s="47"/>
      <c r="CB151" s="47"/>
      <c r="CC151" s="47"/>
      <c r="CD151" s="47"/>
      <c r="CE151" s="47"/>
      <c r="CF151" s="47"/>
      <c r="CG151" s="47"/>
      <c r="CH151" s="47"/>
      <c r="CI151" s="47"/>
      <c r="CJ151" s="47"/>
      <c r="CK151" s="65"/>
      <c r="CL151" s="47"/>
      <c r="CM151" s="47"/>
      <c r="CN151" s="47"/>
      <c r="CO151" s="47"/>
      <c r="CP151" s="47"/>
      <c r="CQ151" s="47"/>
      <c r="CR151" s="47"/>
      <c r="CS151" s="47"/>
      <c r="CT151" s="47"/>
      <c r="CU151" s="47"/>
      <c r="CV151" s="47"/>
      <c r="CW151" s="47"/>
      <c r="CX151" s="47"/>
      <c r="CY151" s="65"/>
      <c r="CZ151" s="11"/>
      <c r="DA151" s="47">
        <f t="shared" si="854"/>
        <v>29376.854</v>
      </c>
      <c r="DB151" s="47"/>
      <c r="DC151" s="47"/>
      <c r="DD151" s="47"/>
      <c r="DE151" s="47"/>
      <c r="DF151" s="47"/>
      <c r="DG151" s="47"/>
      <c r="DH151" s="47"/>
      <c r="DI151" s="47"/>
      <c r="DJ151" s="47"/>
      <c r="DK151" s="47"/>
      <c r="DL151" s="47"/>
      <c r="DM151" s="65">
        <f>SUM(DA151:DL151)</f>
        <v>29376.854</v>
      </c>
      <c r="DN151" s="1"/>
      <c r="DO151" s="130"/>
      <c r="DP151" s="130"/>
      <c r="DQ151" s="131"/>
    </row>
    <row r="152" outlineLevel="2">
      <c r="A152" s="15"/>
      <c r="B152" s="123" t="s">
        <v>144</v>
      </c>
      <c r="C152" s="124"/>
      <c r="D152" s="47">
        <f t="shared" ref="D152:G152" si="855">IFERROR(D151/D150,0)</f>
        <v>0</v>
      </c>
      <c r="E152" s="47">
        <f t="shared" si="855"/>
        <v>0</v>
      </c>
      <c r="F152" s="47">
        <f t="shared" si="855"/>
        <v>432.6400147</v>
      </c>
      <c r="G152" s="47">
        <f t="shared" si="855"/>
        <v>0</v>
      </c>
      <c r="H152" s="125"/>
      <c r="I152" s="66">
        <f t="shared" si="833"/>
        <v>0</v>
      </c>
      <c r="J152" s="67">
        <f t="shared" si="834"/>
        <v>0</v>
      </c>
      <c r="K152" s="66">
        <f t="shared" si="835"/>
        <v>432.6400147</v>
      </c>
      <c r="L152" s="67">
        <f t="shared" si="836"/>
        <v>1</v>
      </c>
      <c r="M152" s="66">
        <f t="shared" si="837"/>
        <v>0</v>
      </c>
      <c r="N152" s="67">
        <f t="shared" si="838"/>
        <v>0</v>
      </c>
      <c r="O152" s="125"/>
      <c r="P152" s="47">
        <f t="shared" ref="P152:R152" si="856">IFERROR(P151/P150/$D$2,0)</f>
        <v>0</v>
      </c>
      <c r="Q152" s="47">
        <f t="shared" si="856"/>
        <v>438.8505806</v>
      </c>
      <c r="R152" s="47">
        <f t="shared" si="856"/>
        <v>0</v>
      </c>
      <c r="S152" s="125"/>
      <c r="T152" s="66">
        <f t="shared" si="839"/>
        <v>438.8505806</v>
      </c>
      <c r="U152" s="67">
        <f t="shared" si="840"/>
        <v>1</v>
      </c>
      <c r="V152" s="66">
        <f t="shared" si="841"/>
        <v>0</v>
      </c>
      <c r="W152" s="67">
        <f t="shared" si="842"/>
        <v>0</v>
      </c>
      <c r="X152" s="125"/>
      <c r="Y152" s="47">
        <f t="shared" ref="Y152:AB152" si="857">IFERROR(Y151/Y150/12,0)</f>
        <v>421.847863</v>
      </c>
      <c r="Z152" s="47">
        <f t="shared" si="857"/>
        <v>421.847863</v>
      </c>
      <c r="AA152" s="47">
        <f t="shared" si="857"/>
        <v>429.9956243</v>
      </c>
      <c r="AB152" s="47">
        <f t="shared" si="857"/>
        <v>0</v>
      </c>
      <c r="AC152" s="125"/>
      <c r="AD152" s="66">
        <f t="shared" si="847"/>
        <v>8.147761241</v>
      </c>
      <c r="AE152" s="67">
        <f t="shared" si="848"/>
        <v>0.01894847478</v>
      </c>
      <c r="AF152" s="66">
        <f t="shared" si="849"/>
        <v>-421.847863</v>
      </c>
      <c r="AG152" s="67">
        <f t="shared" si="850"/>
        <v>0</v>
      </c>
      <c r="AH152" s="126"/>
      <c r="AI152" s="47">
        <f t="shared" ref="AI152:AT152" si="858">IFERROR(AI151/AI150,0)</f>
        <v>0</v>
      </c>
      <c r="AJ152" s="47">
        <f t="shared" si="858"/>
        <v>0</v>
      </c>
      <c r="AK152" s="47">
        <f t="shared" si="858"/>
        <v>0</v>
      </c>
      <c r="AL152" s="47">
        <f t="shared" si="858"/>
        <v>0</v>
      </c>
      <c r="AM152" s="47">
        <f t="shared" si="858"/>
        <v>0</v>
      </c>
      <c r="AN152" s="47">
        <f t="shared" si="858"/>
        <v>0</v>
      </c>
      <c r="AO152" s="47">
        <f t="shared" si="858"/>
        <v>0</v>
      </c>
      <c r="AP152" s="47">
        <f t="shared" si="858"/>
        <v>0</v>
      </c>
      <c r="AQ152" s="47">
        <f t="shared" si="858"/>
        <v>0</v>
      </c>
      <c r="AR152" s="47">
        <f t="shared" si="858"/>
        <v>421.847863</v>
      </c>
      <c r="AS152" s="47">
        <f t="shared" si="858"/>
        <v>421.847863</v>
      </c>
      <c r="AT152" s="47">
        <f t="shared" si="858"/>
        <v>421.847863</v>
      </c>
      <c r="AU152" s="65">
        <f>IFERROR(AU151/AU150/12,0)</f>
        <v>421.847863</v>
      </c>
      <c r="AV152" s="127"/>
      <c r="AW152" s="47">
        <f t="shared" ref="AW152:BH152" si="859">IFERROR(AW151/AW150,0)</f>
        <v>0</v>
      </c>
      <c r="AX152" s="47">
        <f t="shared" si="859"/>
        <v>0</v>
      </c>
      <c r="AY152" s="47">
        <f t="shared" si="859"/>
        <v>0</v>
      </c>
      <c r="AZ152" s="47">
        <f t="shared" si="859"/>
        <v>0</v>
      </c>
      <c r="BA152" s="47">
        <f t="shared" si="859"/>
        <v>0</v>
      </c>
      <c r="BB152" s="47">
        <f t="shared" si="859"/>
        <v>0</v>
      </c>
      <c r="BC152" s="47">
        <f t="shared" si="859"/>
        <v>421.847863</v>
      </c>
      <c r="BD152" s="47">
        <f t="shared" si="859"/>
        <v>421.847863</v>
      </c>
      <c r="BE152" s="47">
        <f t="shared" si="859"/>
        <v>421.847863</v>
      </c>
      <c r="BF152" s="47">
        <f t="shared" si="859"/>
        <v>421.847863</v>
      </c>
      <c r="BG152" s="47">
        <f t="shared" si="859"/>
        <v>421.847863</v>
      </c>
      <c r="BH152" s="47">
        <f t="shared" si="859"/>
        <v>421.847863</v>
      </c>
      <c r="BI152" s="65">
        <f>IFERROR(BI151/BI150/12,0)</f>
        <v>421.847863</v>
      </c>
      <c r="BJ152" s="126"/>
      <c r="BK152" s="128">
        <v>438.4605</v>
      </c>
      <c r="BL152" s="128">
        <v>438.4605</v>
      </c>
      <c r="BM152" s="128">
        <v>438.4605</v>
      </c>
      <c r="BN152" s="128">
        <v>438.4605</v>
      </c>
      <c r="BO152" s="128">
        <v>446.7141</v>
      </c>
      <c r="BP152" s="128">
        <v>432.64</v>
      </c>
      <c r="BQ152" s="128">
        <v>421.8479</v>
      </c>
      <c r="BR152" s="128">
        <v>421.8479</v>
      </c>
      <c r="BS152" s="128">
        <v>421.8479</v>
      </c>
      <c r="BT152" s="128">
        <v>421.8479</v>
      </c>
      <c r="BU152" s="128">
        <v>421.8479</v>
      </c>
      <c r="BV152" s="128">
        <v>421.8479</v>
      </c>
      <c r="BW152" s="129">
        <v>429.9954</v>
      </c>
      <c r="BX152" s="1"/>
      <c r="BY152" s="47"/>
      <c r="BZ152" s="47"/>
      <c r="CA152" s="47"/>
      <c r="CB152" s="47"/>
      <c r="CC152" s="47"/>
      <c r="CD152" s="47"/>
      <c r="CE152" s="47"/>
      <c r="CF152" s="47"/>
      <c r="CG152" s="47"/>
      <c r="CH152" s="47"/>
      <c r="CI152" s="47"/>
      <c r="CJ152" s="47"/>
      <c r="CK152" s="65"/>
      <c r="CL152" s="47"/>
      <c r="CM152" s="47"/>
      <c r="CN152" s="47"/>
      <c r="CO152" s="47"/>
      <c r="CP152" s="47"/>
      <c r="CQ152" s="47"/>
      <c r="CR152" s="47"/>
      <c r="CS152" s="47"/>
      <c r="CT152" s="47"/>
      <c r="CU152" s="47"/>
      <c r="CV152" s="47"/>
      <c r="CW152" s="47"/>
      <c r="CX152" s="47"/>
      <c r="CY152" s="65"/>
      <c r="CZ152" s="11"/>
      <c r="DA152" s="47">
        <f>IFERROR(DA151/DA150,0)</f>
        <v>438.4605075</v>
      </c>
      <c r="DB152" s="47"/>
      <c r="DC152" s="47"/>
      <c r="DD152" s="47"/>
      <c r="DE152" s="47"/>
      <c r="DF152" s="47"/>
      <c r="DG152" s="47"/>
      <c r="DH152" s="47"/>
      <c r="DI152" s="47"/>
      <c r="DJ152" s="47"/>
      <c r="DK152" s="47"/>
      <c r="DL152" s="47"/>
      <c r="DM152" s="65">
        <f>IFERROR(DM151/DM150/12,0)</f>
        <v>438.4605075</v>
      </c>
      <c r="DN152" s="1"/>
      <c r="DO152" s="132"/>
      <c r="DP152" s="132"/>
      <c r="DQ152" s="131"/>
    </row>
    <row r="153" outlineLevel="2">
      <c r="A153" s="15"/>
      <c r="B153" s="118" t="s">
        <v>145</v>
      </c>
      <c r="C153" s="15"/>
      <c r="D153" s="65">
        <f t="shared" ref="D153:D154" si="862">SUMIFS($CM153:$CX153,$CM$35:$CX$35,$D$2)</f>
        <v>0</v>
      </c>
      <c r="E153" s="65">
        <f t="shared" ref="E153:E154" si="863">SUMIFS($DA153:$DM153,$DA$35:$DM$35,$D$2)</f>
        <v>0</v>
      </c>
      <c r="F153" s="65">
        <f t="shared" ref="F153:F154" si="864">SUMIFS($BK153:$BV153,$BK$35:$BV$35,$D$2)</f>
        <v>8</v>
      </c>
      <c r="G153" s="65">
        <f t="shared" ref="G153:G154" si="865">SUMIFS($BY153:$CJ153,$BY$35:$CJ$35,$D$2)</f>
        <v>0</v>
      </c>
      <c r="H153" s="48"/>
      <c r="I153" s="75">
        <f t="shared" si="833"/>
        <v>0</v>
      </c>
      <c r="J153" s="60">
        <f t="shared" si="834"/>
        <v>0</v>
      </c>
      <c r="K153" s="75">
        <f t="shared" si="835"/>
        <v>8</v>
      </c>
      <c r="L153" s="60">
        <f t="shared" si="836"/>
        <v>1</v>
      </c>
      <c r="M153" s="75">
        <f t="shared" si="837"/>
        <v>0</v>
      </c>
      <c r="N153" s="60">
        <f t="shared" si="838"/>
        <v>0</v>
      </c>
      <c r="O153" s="48"/>
      <c r="P153" s="65">
        <f>SUMIFS($CM153:$CX153,$CM$35:$CX$35,$P$2)/D2</f>
        <v>0</v>
      </c>
      <c r="Q153" s="65">
        <f>SUMIFS($BK153:$BV153,$BK$35:$BV$35,$P$2)/D2</f>
        <v>8</v>
      </c>
      <c r="R153" s="65">
        <f>SUMIFS($BY153:$CJ153,$BY$35:$CJ$35,$P$2)/D2</f>
        <v>0</v>
      </c>
      <c r="S153" s="48"/>
      <c r="T153" s="75">
        <f t="shared" si="839"/>
        <v>8</v>
      </c>
      <c r="U153" s="60">
        <f t="shared" si="840"/>
        <v>1</v>
      </c>
      <c r="V153" s="75">
        <f t="shared" si="841"/>
        <v>0</v>
      </c>
      <c r="W153" s="60">
        <f t="shared" si="842"/>
        <v>0</v>
      </c>
      <c r="X153" s="48"/>
      <c r="Y153" s="65">
        <f t="shared" ref="Y153:Y154" si="866">$AU153</f>
        <v>2</v>
      </c>
      <c r="Z153" s="65">
        <f t="shared" ref="Z153:Z154" si="867">$BI153</f>
        <v>4</v>
      </c>
      <c r="AA153" s="65">
        <f t="shared" ref="AA153:AA154" si="868">$BW153</f>
        <v>8</v>
      </c>
      <c r="AB153" s="95" t="str">
        <f t="shared" ref="AB153:AB154" si="869">$CK153</f>
        <v/>
      </c>
      <c r="AC153" s="17"/>
      <c r="AD153" s="75">
        <f t="shared" si="847"/>
        <v>6</v>
      </c>
      <c r="AE153" s="60">
        <f t="shared" si="848"/>
        <v>0.75</v>
      </c>
      <c r="AF153" s="75">
        <f t="shared" si="849"/>
        <v>-2</v>
      </c>
      <c r="AG153" s="60">
        <f t="shared" si="850"/>
        <v>0</v>
      </c>
      <c r="AH153" s="119"/>
      <c r="AI153" s="47" t="str">
        <f t="shared" ref="AI153:AI154" si="870">IFERROR(IF(AI$3="A",CM153,IF(AI$3="F",DA153)),0)</f>
        <v/>
      </c>
      <c r="AJ153" s="47" t="str">
        <f t="shared" ref="AJ153:AT153" si="860">IFERROR(IF(AJ$3="A",CN153,IF(AJ$3="F",DB153,IF(AJ$3="B",BL153,0))),"")</f>
        <v/>
      </c>
      <c r="AK153" s="47" t="str">
        <f t="shared" si="860"/>
        <v/>
      </c>
      <c r="AL153" s="47" t="str">
        <f t="shared" si="860"/>
        <v/>
      </c>
      <c r="AM153" s="47" t="str">
        <f t="shared" si="860"/>
        <v/>
      </c>
      <c r="AN153" s="47" t="str">
        <f t="shared" si="860"/>
        <v/>
      </c>
      <c r="AO153" s="47" t="str">
        <f t="shared" si="860"/>
        <v/>
      </c>
      <c r="AP153" s="47" t="str">
        <f t="shared" si="860"/>
        <v/>
      </c>
      <c r="AQ153" s="47" t="str">
        <f t="shared" si="860"/>
        <v/>
      </c>
      <c r="AR153" s="47">
        <f t="shared" si="860"/>
        <v>8</v>
      </c>
      <c r="AS153" s="47">
        <f t="shared" si="860"/>
        <v>8</v>
      </c>
      <c r="AT153" s="47">
        <f t="shared" si="860"/>
        <v>8</v>
      </c>
      <c r="AU153" s="65">
        <f>IFERROR(SUM(AI153:AT153)/12,0)</f>
        <v>2</v>
      </c>
      <c r="AV153" s="11"/>
      <c r="AW153" s="47" t="str">
        <f t="shared" ref="AW153:BH153" si="861">IFERROR(IF(AW$3="A",CM153,IF(AW$3="B",BK153)),0)</f>
        <v/>
      </c>
      <c r="AX153" s="47" t="str">
        <f t="shared" si="861"/>
        <v/>
      </c>
      <c r="AY153" s="47" t="str">
        <f t="shared" si="861"/>
        <v/>
      </c>
      <c r="AZ153" s="47" t="str">
        <f t="shared" si="861"/>
        <v/>
      </c>
      <c r="BA153" s="47" t="str">
        <f t="shared" si="861"/>
        <v/>
      </c>
      <c r="BB153" s="47" t="str">
        <f t="shared" si="861"/>
        <v/>
      </c>
      <c r="BC153" s="47">
        <f t="shared" si="861"/>
        <v>8</v>
      </c>
      <c r="BD153" s="47">
        <f t="shared" si="861"/>
        <v>8</v>
      </c>
      <c r="BE153" s="47">
        <f t="shared" si="861"/>
        <v>8</v>
      </c>
      <c r="BF153" s="47">
        <f t="shared" si="861"/>
        <v>8</v>
      </c>
      <c r="BG153" s="47">
        <f t="shared" si="861"/>
        <v>8</v>
      </c>
      <c r="BH153" s="47">
        <f t="shared" si="861"/>
        <v>8</v>
      </c>
      <c r="BI153" s="65">
        <f>IFERROR(SUM(AW153:BH153)/12,0)</f>
        <v>4</v>
      </c>
      <c r="BJ153" s="119"/>
      <c r="BK153" s="128">
        <v>8.0</v>
      </c>
      <c r="BL153" s="128">
        <v>8.0</v>
      </c>
      <c r="BM153" s="128">
        <v>8.0</v>
      </c>
      <c r="BN153" s="128">
        <v>8.0</v>
      </c>
      <c r="BO153" s="128">
        <v>8.0</v>
      </c>
      <c r="BP153" s="128">
        <v>8.0</v>
      </c>
      <c r="BQ153" s="128">
        <v>8.0</v>
      </c>
      <c r="BR153" s="128">
        <v>8.0</v>
      </c>
      <c r="BS153" s="128">
        <v>8.0</v>
      </c>
      <c r="BT153" s="128">
        <v>8.0</v>
      </c>
      <c r="BU153" s="128">
        <v>8.0</v>
      </c>
      <c r="BV153" s="128">
        <v>8.0</v>
      </c>
      <c r="BW153" s="129">
        <v>8.0</v>
      </c>
      <c r="BX153" s="1"/>
      <c r="BY153" s="47"/>
      <c r="BZ153" s="47"/>
      <c r="CA153" s="47"/>
      <c r="CB153" s="47"/>
      <c r="CC153" s="47"/>
      <c r="CD153" s="47"/>
      <c r="CE153" s="47"/>
      <c r="CF153" s="47"/>
      <c r="CG153" s="47"/>
      <c r="CH153" s="47"/>
      <c r="CI153" s="47"/>
      <c r="CJ153" s="47"/>
      <c r="CK153" s="65"/>
      <c r="CL153" s="65"/>
      <c r="CM153" s="47"/>
      <c r="CN153" s="47"/>
      <c r="CO153" s="47"/>
      <c r="CP153" s="47"/>
      <c r="CQ153" s="47"/>
      <c r="CR153" s="47"/>
      <c r="CS153" s="47"/>
      <c r="CT153" s="47"/>
      <c r="CU153" s="47"/>
      <c r="CV153" s="47"/>
      <c r="CW153" s="47"/>
      <c r="CX153" s="47"/>
      <c r="CY153" s="65"/>
      <c r="CZ153" s="11"/>
      <c r="DA153" s="65">
        <f t="shared" ref="DA153:DA154" si="873">BK153</f>
        <v>8</v>
      </c>
      <c r="DB153" s="65"/>
      <c r="DC153" s="65"/>
      <c r="DD153" s="65"/>
      <c r="DE153" s="47"/>
      <c r="DF153" s="47"/>
      <c r="DG153" s="47"/>
      <c r="DH153" s="47"/>
      <c r="DI153" s="47"/>
      <c r="DJ153" s="47"/>
      <c r="DK153" s="47"/>
      <c r="DL153" s="47"/>
      <c r="DM153" s="65">
        <f>IFERROR(SUM(DA153:DL153)/12,0)</f>
        <v>0.6666666667</v>
      </c>
      <c r="DN153" s="1"/>
      <c r="DO153" s="224"/>
      <c r="DP153" s="224"/>
      <c r="DQ153" s="131"/>
    </row>
    <row r="154" outlineLevel="2">
      <c r="A154" s="15"/>
      <c r="B154" s="195" t="s">
        <v>146</v>
      </c>
      <c r="C154" s="196"/>
      <c r="D154" s="47">
        <f t="shared" si="862"/>
        <v>0</v>
      </c>
      <c r="E154" s="47">
        <f t="shared" si="863"/>
        <v>0</v>
      </c>
      <c r="F154" s="47">
        <f t="shared" si="864"/>
        <v>17458.225</v>
      </c>
      <c r="G154" s="47">
        <f t="shared" si="865"/>
        <v>0</v>
      </c>
      <c r="H154" s="48"/>
      <c r="I154" s="66">
        <f t="shared" si="833"/>
        <v>0</v>
      </c>
      <c r="J154" s="67">
        <f t="shared" si="834"/>
        <v>0</v>
      </c>
      <c r="K154" s="66">
        <f t="shared" si="835"/>
        <v>17458.225</v>
      </c>
      <c r="L154" s="67">
        <f t="shared" si="836"/>
        <v>1</v>
      </c>
      <c r="M154" s="66">
        <f t="shared" si="837"/>
        <v>0</v>
      </c>
      <c r="N154" s="67">
        <f t="shared" si="838"/>
        <v>0</v>
      </c>
      <c r="O154" s="48"/>
      <c r="P154" s="47">
        <f>SUMIFS($CM154:$CX154,$CM$35:$CX$35,$P$2)</f>
        <v>0</v>
      </c>
      <c r="Q154" s="47">
        <f>SUMIFS($BK154:$BV154,$BK$35:$BV$35,$P$2)</f>
        <v>106678.089</v>
      </c>
      <c r="R154" s="47">
        <f>SUMIFS($BY154:$CJ154,$BY$35:$CJ$35,$P$2)</f>
        <v>0</v>
      </c>
      <c r="S154" s="48"/>
      <c r="T154" s="66">
        <f t="shared" si="839"/>
        <v>106678.089</v>
      </c>
      <c r="U154" s="67">
        <f t="shared" si="840"/>
        <v>1</v>
      </c>
      <c r="V154" s="66">
        <f t="shared" si="841"/>
        <v>0</v>
      </c>
      <c r="W154" s="67">
        <f t="shared" si="842"/>
        <v>0</v>
      </c>
      <c r="X154" s="48"/>
      <c r="Y154" s="47">
        <f t="shared" si="866"/>
        <v>58102.158</v>
      </c>
      <c r="Z154" s="47">
        <f t="shared" si="867"/>
        <v>110511.795</v>
      </c>
      <c r="AA154" s="47">
        <f t="shared" si="868"/>
        <v>217189.884</v>
      </c>
      <c r="AB154" s="95" t="str">
        <f t="shared" si="869"/>
        <v/>
      </c>
      <c r="AC154" s="96"/>
      <c r="AD154" s="66">
        <f t="shared" si="847"/>
        <v>159087.726</v>
      </c>
      <c r="AE154" s="67">
        <f t="shared" si="848"/>
        <v>0.732482209</v>
      </c>
      <c r="AF154" s="66">
        <f t="shared" si="849"/>
        <v>-58102.158</v>
      </c>
      <c r="AG154" s="67">
        <f t="shared" si="850"/>
        <v>0</v>
      </c>
      <c r="AH154" s="198"/>
      <c r="AI154" s="47" t="str">
        <f t="shared" si="870"/>
        <v/>
      </c>
      <c r="AJ154" s="47" t="str">
        <f t="shared" ref="AJ154:AT154" si="871">IFERROR(IF(AJ$3="A",CN154,IF(AJ$3="F",DB154,IF(AJ$3="B",BL154,0))),"")</f>
        <v/>
      </c>
      <c r="AK154" s="47" t="str">
        <f t="shared" si="871"/>
        <v/>
      </c>
      <c r="AL154" s="47" t="str">
        <f t="shared" si="871"/>
        <v/>
      </c>
      <c r="AM154" s="47" t="str">
        <f t="shared" si="871"/>
        <v/>
      </c>
      <c r="AN154" s="47" t="str">
        <f t="shared" si="871"/>
        <v/>
      </c>
      <c r="AO154" s="47" t="str">
        <f t="shared" si="871"/>
        <v/>
      </c>
      <c r="AP154" s="47" t="str">
        <f t="shared" si="871"/>
        <v/>
      </c>
      <c r="AQ154" s="47" t="str">
        <f t="shared" si="871"/>
        <v/>
      </c>
      <c r="AR154" s="47">
        <f t="shared" si="871"/>
        <v>17219.305</v>
      </c>
      <c r="AS154" s="47">
        <f t="shared" si="871"/>
        <v>17727.474</v>
      </c>
      <c r="AT154" s="47">
        <f t="shared" si="871"/>
        <v>23155.379</v>
      </c>
      <c r="AU154" s="65">
        <f>SUM(AI154:AT154)</f>
        <v>58102.158</v>
      </c>
      <c r="AV154" s="197"/>
      <c r="AW154" s="47" t="str">
        <f t="shared" ref="AW154:BH154" si="872">IFERROR(IF(AW$3="A",CM154,IF(AW$3="B",BK154)),0)</f>
        <v/>
      </c>
      <c r="AX154" s="47" t="str">
        <f t="shared" si="872"/>
        <v/>
      </c>
      <c r="AY154" s="47" t="str">
        <f t="shared" si="872"/>
        <v/>
      </c>
      <c r="AZ154" s="47" t="str">
        <f t="shared" si="872"/>
        <v/>
      </c>
      <c r="BA154" s="47" t="str">
        <f t="shared" si="872"/>
        <v/>
      </c>
      <c r="BB154" s="47" t="str">
        <f t="shared" si="872"/>
        <v/>
      </c>
      <c r="BC154" s="47">
        <f t="shared" si="872"/>
        <v>17454.689</v>
      </c>
      <c r="BD154" s="47">
        <f t="shared" si="872"/>
        <v>17704.874</v>
      </c>
      <c r="BE154" s="47">
        <f t="shared" si="872"/>
        <v>17250.074</v>
      </c>
      <c r="BF154" s="47">
        <f t="shared" si="872"/>
        <v>17219.305</v>
      </c>
      <c r="BG154" s="47">
        <f t="shared" si="872"/>
        <v>17727.474</v>
      </c>
      <c r="BH154" s="47">
        <f t="shared" si="872"/>
        <v>23155.379</v>
      </c>
      <c r="BI154" s="65">
        <f>SUM(AW154:BH154)</f>
        <v>110511.795</v>
      </c>
      <c r="BJ154" s="198"/>
      <c r="BK154" s="128">
        <v>17144.663</v>
      </c>
      <c r="BL154" s="128">
        <v>19901.425</v>
      </c>
      <c r="BM154" s="128">
        <v>17219.305</v>
      </c>
      <c r="BN154" s="128">
        <v>17611.612</v>
      </c>
      <c r="BO154" s="128">
        <v>17342.859</v>
      </c>
      <c r="BP154" s="128">
        <v>17458.225</v>
      </c>
      <c r="BQ154" s="128">
        <v>17454.689</v>
      </c>
      <c r="BR154" s="128">
        <v>17704.874</v>
      </c>
      <c r="BS154" s="128">
        <v>17250.074</v>
      </c>
      <c r="BT154" s="128">
        <v>17219.305</v>
      </c>
      <c r="BU154" s="128">
        <v>17727.474</v>
      </c>
      <c r="BV154" s="128">
        <v>23155.379</v>
      </c>
      <c r="BW154" s="129">
        <v>217189.884</v>
      </c>
      <c r="BX154" s="1"/>
      <c r="BY154" s="47"/>
      <c r="BZ154" s="47"/>
      <c r="CA154" s="47"/>
      <c r="CB154" s="47"/>
      <c r="CC154" s="47"/>
      <c r="CD154" s="47"/>
      <c r="CE154" s="47"/>
      <c r="CF154" s="47"/>
      <c r="CG154" s="47"/>
      <c r="CH154" s="47"/>
      <c r="CI154" s="47"/>
      <c r="CJ154" s="47"/>
      <c r="CK154" s="65"/>
      <c r="CL154" s="47"/>
      <c r="CM154" s="47"/>
      <c r="CN154" s="47"/>
      <c r="CO154" s="47"/>
      <c r="CP154" s="47"/>
      <c r="CQ154" s="47"/>
      <c r="CR154" s="47"/>
      <c r="CS154" s="47"/>
      <c r="CT154" s="47"/>
      <c r="CU154" s="47"/>
      <c r="CV154" s="47"/>
      <c r="CW154" s="47"/>
      <c r="CX154" s="47"/>
      <c r="CY154" s="65"/>
      <c r="CZ154" s="11"/>
      <c r="DA154" s="47">
        <f t="shared" si="873"/>
        <v>17144.663</v>
      </c>
      <c r="DB154" s="47"/>
      <c r="DC154" s="47"/>
      <c r="DD154" s="47"/>
      <c r="DE154" s="47"/>
      <c r="DF154" s="47"/>
      <c r="DG154" s="47"/>
      <c r="DH154" s="47"/>
      <c r="DI154" s="47"/>
      <c r="DJ154" s="47"/>
      <c r="DK154" s="47"/>
      <c r="DL154" s="47"/>
      <c r="DM154" s="65">
        <f>SUM(DA154:DL154)</f>
        <v>17144.663</v>
      </c>
      <c r="DN154" s="1"/>
      <c r="DO154" s="130"/>
      <c r="DP154" s="130"/>
      <c r="DQ154" s="131"/>
    </row>
    <row r="155" outlineLevel="2">
      <c r="A155" s="15"/>
      <c r="B155" s="123" t="s">
        <v>147</v>
      </c>
      <c r="C155" s="124"/>
      <c r="D155" s="47">
        <f t="shared" ref="D155:G155" si="874">IFERROR(D154/D153,0)</f>
        <v>0</v>
      </c>
      <c r="E155" s="47">
        <f t="shared" si="874"/>
        <v>0</v>
      </c>
      <c r="F155" s="47">
        <f t="shared" si="874"/>
        <v>2182.278125</v>
      </c>
      <c r="G155" s="47">
        <f t="shared" si="874"/>
        <v>0</v>
      </c>
      <c r="H155" s="125"/>
      <c r="I155" s="66">
        <f t="shared" si="833"/>
        <v>0</v>
      </c>
      <c r="J155" s="67">
        <f t="shared" si="834"/>
        <v>0</v>
      </c>
      <c r="K155" s="66">
        <f t="shared" si="835"/>
        <v>2182.278125</v>
      </c>
      <c r="L155" s="67">
        <f t="shared" si="836"/>
        <v>1</v>
      </c>
      <c r="M155" s="66">
        <f t="shared" si="837"/>
        <v>0</v>
      </c>
      <c r="N155" s="67">
        <f t="shared" si="838"/>
        <v>0</v>
      </c>
      <c r="O155" s="125"/>
      <c r="P155" s="47">
        <f t="shared" ref="P155:R155" si="875">IFERROR(P154/P153/$D$2,0)</f>
        <v>0</v>
      </c>
      <c r="Q155" s="47">
        <f t="shared" si="875"/>
        <v>2222.460188</v>
      </c>
      <c r="R155" s="47">
        <f t="shared" si="875"/>
        <v>0</v>
      </c>
      <c r="S155" s="125"/>
      <c r="T155" s="66">
        <f t="shared" si="839"/>
        <v>2222.460188</v>
      </c>
      <c r="U155" s="67">
        <f t="shared" si="840"/>
        <v>1</v>
      </c>
      <c r="V155" s="66">
        <f t="shared" si="841"/>
        <v>0</v>
      </c>
      <c r="W155" s="67">
        <f t="shared" si="842"/>
        <v>0</v>
      </c>
      <c r="X155" s="125"/>
      <c r="Y155" s="47">
        <f t="shared" ref="Y155:AB155" si="876">IFERROR(Y154/Y153/12,0)</f>
        <v>2420.92325</v>
      </c>
      <c r="Z155" s="47">
        <f t="shared" si="876"/>
        <v>2302.329063</v>
      </c>
      <c r="AA155" s="47">
        <f t="shared" si="876"/>
        <v>2262.394625</v>
      </c>
      <c r="AB155" s="47">
        <f t="shared" si="876"/>
        <v>0</v>
      </c>
      <c r="AC155" s="96"/>
      <c r="AD155" s="66">
        <f t="shared" si="847"/>
        <v>-158.528625</v>
      </c>
      <c r="AE155" s="67">
        <f t="shared" si="848"/>
        <v>-0.07007116409</v>
      </c>
      <c r="AF155" s="66">
        <f t="shared" si="849"/>
        <v>-2420.92325</v>
      </c>
      <c r="AG155" s="67">
        <f t="shared" si="850"/>
        <v>0</v>
      </c>
      <c r="AH155" s="198"/>
      <c r="AI155" s="47">
        <f t="shared" ref="AI155:AT155" si="877">IFERROR(AI154/AI153,0)</f>
        <v>0</v>
      </c>
      <c r="AJ155" s="47">
        <f t="shared" si="877"/>
        <v>0</v>
      </c>
      <c r="AK155" s="47">
        <f t="shared" si="877"/>
        <v>0</v>
      </c>
      <c r="AL155" s="47">
        <f t="shared" si="877"/>
        <v>0</v>
      </c>
      <c r="AM155" s="47">
        <f t="shared" si="877"/>
        <v>0</v>
      </c>
      <c r="AN155" s="47">
        <f t="shared" si="877"/>
        <v>0</v>
      </c>
      <c r="AO155" s="47">
        <f t="shared" si="877"/>
        <v>0</v>
      </c>
      <c r="AP155" s="47">
        <f t="shared" si="877"/>
        <v>0</v>
      </c>
      <c r="AQ155" s="47">
        <f t="shared" si="877"/>
        <v>0</v>
      </c>
      <c r="AR155" s="47">
        <f t="shared" si="877"/>
        <v>2152.413125</v>
      </c>
      <c r="AS155" s="47">
        <f t="shared" si="877"/>
        <v>2215.93425</v>
      </c>
      <c r="AT155" s="47">
        <f t="shared" si="877"/>
        <v>2894.422375</v>
      </c>
      <c r="AU155" s="65">
        <f>IFERROR(AU154/AU153/12,0)</f>
        <v>2420.92325</v>
      </c>
      <c r="AV155" s="197"/>
      <c r="AW155" s="47">
        <f t="shared" ref="AW155:BH155" si="878">IFERROR(AW154/AW153,0)</f>
        <v>0</v>
      </c>
      <c r="AX155" s="47">
        <f t="shared" si="878"/>
        <v>0</v>
      </c>
      <c r="AY155" s="47">
        <f t="shared" si="878"/>
        <v>0</v>
      </c>
      <c r="AZ155" s="47">
        <f t="shared" si="878"/>
        <v>0</v>
      </c>
      <c r="BA155" s="47">
        <f t="shared" si="878"/>
        <v>0</v>
      </c>
      <c r="BB155" s="47">
        <f t="shared" si="878"/>
        <v>0</v>
      </c>
      <c r="BC155" s="47">
        <f t="shared" si="878"/>
        <v>2181.836125</v>
      </c>
      <c r="BD155" s="47">
        <f t="shared" si="878"/>
        <v>2213.10925</v>
      </c>
      <c r="BE155" s="47">
        <f t="shared" si="878"/>
        <v>2156.25925</v>
      </c>
      <c r="BF155" s="47">
        <f t="shared" si="878"/>
        <v>2152.413125</v>
      </c>
      <c r="BG155" s="47">
        <f t="shared" si="878"/>
        <v>2215.93425</v>
      </c>
      <c r="BH155" s="47">
        <f t="shared" si="878"/>
        <v>2894.422375</v>
      </c>
      <c r="BI155" s="65">
        <f>IFERROR(BI154/BI153/12,0)</f>
        <v>2302.329063</v>
      </c>
      <c r="BJ155" s="198"/>
      <c r="BK155" s="128">
        <v>2143.0829</v>
      </c>
      <c r="BL155" s="128">
        <v>2487.6781</v>
      </c>
      <c r="BM155" s="128">
        <v>2152.4131</v>
      </c>
      <c r="BN155" s="128">
        <v>2201.4515</v>
      </c>
      <c r="BO155" s="128">
        <v>2167.8574</v>
      </c>
      <c r="BP155" s="128">
        <v>2182.2781</v>
      </c>
      <c r="BQ155" s="128">
        <v>2181.8361</v>
      </c>
      <c r="BR155" s="128">
        <v>2213.1093</v>
      </c>
      <c r="BS155" s="128">
        <v>2156.2593</v>
      </c>
      <c r="BT155" s="128">
        <v>2152.4131</v>
      </c>
      <c r="BU155" s="128">
        <v>2215.9343</v>
      </c>
      <c r="BV155" s="128">
        <v>2894.4224</v>
      </c>
      <c r="BW155" s="129">
        <v>2262.3946</v>
      </c>
      <c r="BX155" s="1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65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65"/>
      <c r="CZ155" s="11"/>
      <c r="DA155" s="47">
        <f>IFERROR(DA154/DA153,0)</f>
        <v>2143.082875</v>
      </c>
      <c r="DB155" s="47"/>
      <c r="DC155" s="47"/>
      <c r="DD155" s="47"/>
      <c r="DE155" s="47"/>
      <c r="DF155" s="47"/>
      <c r="DG155" s="47"/>
      <c r="DH155" s="47"/>
      <c r="DI155" s="47"/>
      <c r="DJ155" s="47"/>
      <c r="DK155" s="47"/>
      <c r="DL155" s="47"/>
      <c r="DM155" s="65">
        <f>IFERROR(DM154/DM153/12,0)</f>
        <v>2143.082875</v>
      </c>
      <c r="DN155" s="1"/>
      <c r="DO155" s="130"/>
      <c r="DP155" s="130"/>
      <c r="DQ155" s="131"/>
    </row>
    <row r="156" outlineLevel="2">
      <c r="A156" s="15"/>
      <c r="B156" s="195" t="s">
        <v>148</v>
      </c>
      <c r="C156" s="196"/>
      <c r="D156" s="190">
        <f t="shared" ref="D156:G156" si="879">IFERROR(D150/D$33,0)</f>
        <v>0</v>
      </c>
      <c r="E156" s="190">
        <f t="shared" si="879"/>
        <v>0</v>
      </c>
      <c r="F156" s="190">
        <f t="shared" si="879"/>
        <v>4.25</v>
      </c>
      <c r="G156" s="190">
        <f t="shared" si="879"/>
        <v>0</v>
      </c>
      <c r="H156" s="96"/>
      <c r="I156" s="190">
        <f t="shared" si="833"/>
        <v>0</v>
      </c>
      <c r="J156" s="67">
        <f t="shared" si="834"/>
        <v>0</v>
      </c>
      <c r="K156" s="190">
        <f t="shared" si="835"/>
        <v>4.25</v>
      </c>
      <c r="L156" s="67">
        <f t="shared" si="836"/>
        <v>1</v>
      </c>
      <c r="M156" s="190">
        <f t="shared" si="837"/>
        <v>0</v>
      </c>
      <c r="N156" s="67">
        <f t="shared" si="838"/>
        <v>0</v>
      </c>
      <c r="O156" s="96"/>
      <c r="P156" s="190">
        <f t="shared" ref="P156:R156" si="880">IFERROR(P150/P$33,0)</f>
        <v>0</v>
      </c>
      <c r="Q156" s="190">
        <f t="shared" si="880"/>
        <v>4.197916667</v>
      </c>
      <c r="R156" s="190">
        <f t="shared" si="880"/>
        <v>0</v>
      </c>
      <c r="S156" s="96"/>
      <c r="T156" s="190">
        <f t="shared" si="839"/>
        <v>4.197916667</v>
      </c>
      <c r="U156" s="67">
        <f t="shared" si="840"/>
        <v>1</v>
      </c>
      <c r="V156" s="190">
        <f t="shared" si="841"/>
        <v>0</v>
      </c>
      <c r="W156" s="67">
        <f t="shared" si="842"/>
        <v>0</v>
      </c>
      <c r="X156" s="96"/>
      <c r="Y156" s="190">
        <f t="shared" ref="Y156:AB156" si="881">IFERROR(Y150/Y$33,0)</f>
        <v>1.140625</v>
      </c>
      <c r="Z156" s="190">
        <f t="shared" si="881"/>
        <v>2.28125</v>
      </c>
      <c r="AA156" s="190">
        <f t="shared" si="881"/>
        <v>4.38020625</v>
      </c>
      <c r="AB156" s="190">
        <f t="shared" si="881"/>
        <v>0</v>
      </c>
      <c r="AC156" s="96"/>
      <c r="AD156" s="190">
        <f t="shared" si="847"/>
        <v>3.23958125</v>
      </c>
      <c r="AE156" s="67">
        <f t="shared" si="848"/>
        <v>0.7395955955</v>
      </c>
      <c r="AF156" s="190">
        <f t="shared" si="849"/>
        <v>-1.140625</v>
      </c>
      <c r="AG156" s="67">
        <f t="shared" si="850"/>
        <v>0</v>
      </c>
      <c r="AH156" s="198"/>
      <c r="AI156" s="190">
        <f t="shared" ref="AI156:AU156" si="882">IFERROR(AI150/AI$33,0)</f>
        <v>0</v>
      </c>
      <c r="AJ156" s="190">
        <f t="shared" si="882"/>
        <v>0</v>
      </c>
      <c r="AK156" s="190">
        <f t="shared" si="882"/>
        <v>0</v>
      </c>
      <c r="AL156" s="190">
        <f t="shared" si="882"/>
        <v>0</v>
      </c>
      <c r="AM156" s="190">
        <f t="shared" si="882"/>
        <v>0</v>
      </c>
      <c r="AN156" s="190">
        <f t="shared" si="882"/>
        <v>0</v>
      </c>
      <c r="AO156" s="190">
        <f t="shared" si="882"/>
        <v>0</v>
      </c>
      <c r="AP156" s="190">
        <f t="shared" si="882"/>
        <v>0</v>
      </c>
      <c r="AQ156" s="190">
        <f t="shared" si="882"/>
        <v>0</v>
      </c>
      <c r="AR156" s="190">
        <f t="shared" si="882"/>
        <v>4.5625</v>
      </c>
      <c r="AS156" s="190">
        <f t="shared" si="882"/>
        <v>4.5625</v>
      </c>
      <c r="AT156" s="190">
        <f t="shared" si="882"/>
        <v>4.5625</v>
      </c>
      <c r="AU156" s="190">
        <f t="shared" si="882"/>
        <v>1.140625</v>
      </c>
      <c r="AV156" s="197"/>
      <c r="AW156" s="190">
        <f t="shared" ref="AW156:BI156" si="883">IFERROR(AW150/AW$33,0)</f>
        <v>0</v>
      </c>
      <c r="AX156" s="190">
        <f t="shared" si="883"/>
        <v>0</v>
      </c>
      <c r="AY156" s="190">
        <f t="shared" si="883"/>
        <v>0</v>
      </c>
      <c r="AZ156" s="190">
        <f t="shared" si="883"/>
        <v>0</v>
      </c>
      <c r="BA156" s="190">
        <f t="shared" si="883"/>
        <v>0</v>
      </c>
      <c r="BB156" s="190">
        <f t="shared" si="883"/>
        <v>0</v>
      </c>
      <c r="BC156" s="190">
        <f t="shared" si="883"/>
        <v>4.5625</v>
      </c>
      <c r="BD156" s="190">
        <f t="shared" si="883"/>
        <v>4.5625</v>
      </c>
      <c r="BE156" s="190">
        <f t="shared" si="883"/>
        <v>4.5625</v>
      </c>
      <c r="BF156" s="190">
        <f t="shared" si="883"/>
        <v>4.5625</v>
      </c>
      <c r="BG156" s="190">
        <f t="shared" si="883"/>
        <v>4.5625</v>
      </c>
      <c r="BH156" s="190">
        <f t="shared" si="883"/>
        <v>4.5625</v>
      </c>
      <c r="BI156" s="190">
        <f t="shared" si="883"/>
        <v>2.28125</v>
      </c>
      <c r="BJ156" s="198"/>
      <c r="BK156" s="192">
        <v>4.1875</v>
      </c>
      <c r="BL156" s="192">
        <v>4.1875</v>
      </c>
      <c r="BM156" s="192">
        <v>4.1875</v>
      </c>
      <c r="BN156" s="192">
        <v>4.1875</v>
      </c>
      <c r="BO156" s="192">
        <v>4.1875</v>
      </c>
      <c r="BP156" s="192">
        <v>4.25</v>
      </c>
      <c r="BQ156" s="192">
        <v>4.5625</v>
      </c>
      <c r="BR156" s="192">
        <v>4.5625</v>
      </c>
      <c r="BS156" s="192">
        <v>4.5625</v>
      </c>
      <c r="BT156" s="192">
        <v>4.5625</v>
      </c>
      <c r="BU156" s="192">
        <v>4.5625</v>
      </c>
      <c r="BV156" s="192">
        <v>4.5625</v>
      </c>
      <c r="BW156" s="192">
        <v>4.3802</v>
      </c>
      <c r="BX156" s="190"/>
      <c r="BY156" s="190"/>
      <c r="BZ156" s="190"/>
      <c r="CA156" s="190"/>
      <c r="CB156" s="190"/>
      <c r="CC156" s="190"/>
      <c r="CD156" s="190"/>
      <c r="CE156" s="190"/>
      <c r="CF156" s="190"/>
      <c r="CG156" s="190"/>
      <c r="CH156" s="190"/>
      <c r="CI156" s="190"/>
      <c r="CJ156" s="190"/>
      <c r="CK156" s="190"/>
      <c r="CL156" s="190"/>
      <c r="CM156" s="190"/>
      <c r="CN156" s="190"/>
      <c r="CO156" s="190"/>
      <c r="CP156" s="190"/>
      <c r="CQ156" s="190"/>
      <c r="CR156" s="190"/>
      <c r="CS156" s="190"/>
      <c r="CT156" s="190"/>
      <c r="CU156" s="190"/>
      <c r="CV156" s="190"/>
      <c r="CW156" s="190"/>
      <c r="CX156" s="190"/>
      <c r="CY156" s="190"/>
      <c r="CZ156" s="190"/>
      <c r="DA156" s="190">
        <f>IFERROR(DA150/DA$33,0)</f>
        <v>4.1875</v>
      </c>
      <c r="DB156" s="190"/>
      <c r="DC156" s="190"/>
      <c r="DD156" s="190"/>
      <c r="DE156" s="190"/>
      <c r="DF156" s="190"/>
      <c r="DG156" s="190"/>
      <c r="DH156" s="190"/>
      <c r="DI156" s="190"/>
      <c r="DJ156" s="190"/>
      <c r="DK156" s="190"/>
      <c r="DL156" s="190"/>
      <c r="DM156" s="190">
        <f>IFERROR(DM150/DM$33,0)</f>
        <v>0.3489583333</v>
      </c>
      <c r="DN156" s="190"/>
      <c r="DO156" s="130"/>
      <c r="DP156" s="130"/>
      <c r="DQ156" s="131"/>
    </row>
    <row r="157" outlineLevel="2">
      <c r="A157" s="15"/>
      <c r="B157" s="1" t="s">
        <v>149</v>
      </c>
      <c r="C157" s="15"/>
      <c r="D157" s="190">
        <f t="shared" ref="D157:G157" si="884">IFERROR(D152/D$33,0)</f>
        <v>0</v>
      </c>
      <c r="E157" s="190">
        <f t="shared" si="884"/>
        <v>0</v>
      </c>
      <c r="F157" s="190">
        <f t="shared" si="884"/>
        <v>27.04000092</v>
      </c>
      <c r="G157" s="190">
        <f t="shared" si="884"/>
        <v>0</v>
      </c>
      <c r="H157" s="17"/>
      <c r="I157" s="190">
        <f t="shared" si="833"/>
        <v>0</v>
      </c>
      <c r="J157" s="67">
        <f t="shared" si="834"/>
        <v>0</v>
      </c>
      <c r="K157" s="190">
        <f t="shared" si="835"/>
        <v>27.04000092</v>
      </c>
      <c r="L157" s="67">
        <f t="shared" si="836"/>
        <v>1</v>
      </c>
      <c r="M157" s="190">
        <f t="shared" si="837"/>
        <v>0</v>
      </c>
      <c r="N157" s="67">
        <f t="shared" si="838"/>
        <v>0</v>
      </c>
      <c r="O157" s="17"/>
      <c r="P157" s="190">
        <f t="shared" ref="P157:R157" si="885">IFERROR(P152/P$33,0)</f>
        <v>0</v>
      </c>
      <c r="Q157" s="190">
        <f t="shared" si="885"/>
        <v>27.42816129</v>
      </c>
      <c r="R157" s="190">
        <f t="shared" si="885"/>
        <v>0</v>
      </c>
      <c r="S157" s="17"/>
      <c r="T157" s="190">
        <f t="shared" si="839"/>
        <v>27.42816129</v>
      </c>
      <c r="U157" s="67">
        <f t="shared" si="840"/>
        <v>1</v>
      </c>
      <c r="V157" s="190">
        <f t="shared" si="841"/>
        <v>0</v>
      </c>
      <c r="W157" s="67">
        <f t="shared" si="842"/>
        <v>0</v>
      </c>
      <c r="X157" s="17"/>
      <c r="Y157" s="190">
        <f t="shared" ref="Y157:AB157" si="886">IFERROR(Y152/Y$33,0)</f>
        <v>26.36549144</v>
      </c>
      <c r="Z157" s="190">
        <f t="shared" si="886"/>
        <v>26.36549144</v>
      </c>
      <c r="AA157" s="190">
        <f t="shared" si="886"/>
        <v>26.87472652</v>
      </c>
      <c r="AB157" s="190">
        <f t="shared" si="886"/>
        <v>0</v>
      </c>
      <c r="AC157" s="17"/>
      <c r="AD157" s="190">
        <f t="shared" si="847"/>
        <v>0.5092350776</v>
      </c>
      <c r="AE157" s="67">
        <f t="shared" si="848"/>
        <v>0.01894847478</v>
      </c>
      <c r="AF157" s="190">
        <f t="shared" si="849"/>
        <v>-26.36549144</v>
      </c>
      <c r="AG157" s="67">
        <f t="shared" si="850"/>
        <v>0</v>
      </c>
      <c r="AH157" s="117"/>
      <c r="AI157" s="190">
        <f t="shared" ref="AI157:AU157" si="887">IFERROR(AI152/AI$33,0)</f>
        <v>0</v>
      </c>
      <c r="AJ157" s="190">
        <f t="shared" si="887"/>
        <v>0</v>
      </c>
      <c r="AK157" s="190">
        <f t="shared" si="887"/>
        <v>0</v>
      </c>
      <c r="AL157" s="190">
        <f t="shared" si="887"/>
        <v>0</v>
      </c>
      <c r="AM157" s="190">
        <f t="shared" si="887"/>
        <v>0</v>
      </c>
      <c r="AN157" s="190">
        <f t="shared" si="887"/>
        <v>0</v>
      </c>
      <c r="AO157" s="190">
        <f t="shared" si="887"/>
        <v>0</v>
      </c>
      <c r="AP157" s="190">
        <f t="shared" si="887"/>
        <v>0</v>
      </c>
      <c r="AQ157" s="190">
        <f t="shared" si="887"/>
        <v>0</v>
      </c>
      <c r="AR157" s="190">
        <f t="shared" si="887"/>
        <v>26.36549144</v>
      </c>
      <c r="AS157" s="190">
        <f t="shared" si="887"/>
        <v>26.36549144</v>
      </c>
      <c r="AT157" s="190">
        <f t="shared" si="887"/>
        <v>26.36549144</v>
      </c>
      <c r="AU157" s="190">
        <f t="shared" si="887"/>
        <v>26.36549144</v>
      </c>
      <c r="AV157" s="11"/>
      <c r="AW157" s="190">
        <f t="shared" ref="AW157:BI157" si="888">IFERROR(AW152/AW$33,0)</f>
        <v>0</v>
      </c>
      <c r="AX157" s="190">
        <f t="shared" si="888"/>
        <v>0</v>
      </c>
      <c r="AY157" s="190">
        <f t="shared" si="888"/>
        <v>0</v>
      </c>
      <c r="AZ157" s="190">
        <f t="shared" si="888"/>
        <v>0</v>
      </c>
      <c r="BA157" s="190">
        <f t="shared" si="888"/>
        <v>0</v>
      </c>
      <c r="BB157" s="190">
        <f t="shared" si="888"/>
        <v>0</v>
      </c>
      <c r="BC157" s="190">
        <f t="shared" si="888"/>
        <v>26.36549144</v>
      </c>
      <c r="BD157" s="190">
        <f t="shared" si="888"/>
        <v>26.36549144</v>
      </c>
      <c r="BE157" s="190">
        <f t="shared" si="888"/>
        <v>26.36549144</v>
      </c>
      <c r="BF157" s="190">
        <f t="shared" si="888"/>
        <v>26.36549144</v>
      </c>
      <c r="BG157" s="190">
        <f t="shared" si="888"/>
        <v>26.36549144</v>
      </c>
      <c r="BH157" s="190">
        <f t="shared" si="888"/>
        <v>26.36549144</v>
      </c>
      <c r="BI157" s="190">
        <f t="shared" si="888"/>
        <v>26.36549144</v>
      </c>
      <c r="BJ157" s="117"/>
      <c r="BK157" s="192">
        <v>27.4038</v>
      </c>
      <c r="BL157" s="192">
        <v>27.4038</v>
      </c>
      <c r="BM157" s="192">
        <v>27.4038</v>
      </c>
      <c r="BN157" s="192">
        <v>27.4038</v>
      </c>
      <c r="BO157" s="192">
        <v>27.9196</v>
      </c>
      <c r="BP157" s="192">
        <v>27.04</v>
      </c>
      <c r="BQ157" s="192">
        <v>26.3655</v>
      </c>
      <c r="BR157" s="192">
        <v>26.3655</v>
      </c>
      <c r="BS157" s="192">
        <v>26.3655</v>
      </c>
      <c r="BT157" s="192">
        <v>26.3655</v>
      </c>
      <c r="BU157" s="192">
        <v>26.3655</v>
      </c>
      <c r="BV157" s="192">
        <v>26.3655</v>
      </c>
      <c r="BW157" s="192">
        <v>26.8747</v>
      </c>
      <c r="BX157" s="127"/>
      <c r="BY157" s="190"/>
      <c r="BZ157" s="190"/>
      <c r="CA157" s="190"/>
      <c r="CB157" s="190"/>
      <c r="CC157" s="190"/>
      <c r="CD157" s="190"/>
      <c r="CE157" s="190"/>
      <c r="CF157" s="190"/>
      <c r="CG157" s="190"/>
      <c r="CH157" s="190"/>
      <c r="CI157" s="190"/>
      <c r="CJ157" s="190"/>
      <c r="CK157" s="190"/>
      <c r="CL157" s="190"/>
      <c r="CM157" s="190"/>
      <c r="CN157" s="190"/>
      <c r="CO157" s="190"/>
      <c r="CP157" s="190"/>
      <c r="CQ157" s="190"/>
      <c r="CR157" s="190"/>
      <c r="CS157" s="190"/>
      <c r="CT157" s="190"/>
      <c r="CU157" s="190"/>
      <c r="CV157" s="190"/>
      <c r="CW157" s="190"/>
      <c r="CX157" s="190"/>
      <c r="CY157" s="190"/>
      <c r="CZ157" s="127"/>
      <c r="DA157" s="190">
        <f>IFERROR(DA152/DA$33,0)</f>
        <v>27.40378172</v>
      </c>
      <c r="DB157" s="190"/>
      <c r="DC157" s="190"/>
      <c r="DD157" s="190"/>
      <c r="DE157" s="190"/>
      <c r="DF157" s="190"/>
      <c r="DG157" s="190"/>
      <c r="DH157" s="190"/>
      <c r="DI157" s="190"/>
      <c r="DJ157" s="190"/>
      <c r="DK157" s="190"/>
      <c r="DL157" s="190"/>
      <c r="DM157" s="190">
        <f>IFERROR(DM152/DM$33,0)</f>
        <v>27.40378172</v>
      </c>
      <c r="DN157" s="127"/>
      <c r="DO157" s="130"/>
      <c r="DP157" s="130"/>
      <c r="DQ157" s="131"/>
    </row>
    <row r="158" outlineLevel="2">
      <c r="A158" s="15"/>
      <c r="B158" s="124"/>
      <c r="C158" s="124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34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161"/>
      <c r="AV158" s="12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161"/>
      <c r="BJ158" s="134"/>
      <c r="BK158" s="47"/>
      <c r="BL158" s="47"/>
      <c r="BM158" s="47"/>
      <c r="BN158" s="47"/>
      <c r="BO158" s="47"/>
      <c r="BP158" s="47"/>
      <c r="BQ158" s="47"/>
      <c r="BR158" s="47"/>
      <c r="BS158" s="47"/>
      <c r="BT158" s="47"/>
      <c r="BU158" s="47"/>
      <c r="BV158" s="47"/>
      <c r="BW158" s="161"/>
      <c r="BX158" s="1"/>
      <c r="BY158" s="47"/>
      <c r="BZ158" s="47"/>
      <c r="CA158" s="47"/>
      <c r="CB158" s="47"/>
      <c r="CC158" s="47"/>
      <c r="CD158" s="47"/>
      <c r="CE158" s="47"/>
      <c r="CF158" s="47"/>
      <c r="CG158" s="47"/>
      <c r="CH158" s="47"/>
      <c r="CI158" s="47"/>
      <c r="CJ158" s="47"/>
      <c r="CK158" s="161"/>
      <c r="CL158" s="47"/>
      <c r="CM158" s="47"/>
      <c r="CN158" s="47"/>
      <c r="CO158" s="47"/>
      <c r="CP158" s="47"/>
      <c r="CQ158" s="47"/>
      <c r="CR158" s="47"/>
      <c r="CS158" s="47"/>
      <c r="CT158" s="47"/>
      <c r="CU158" s="47"/>
      <c r="CV158" s="47"/>
      <c r="CW158" s="47"/>
      <c r="CX158" s="47"/>
      <c r="CY158" s="161"/>
      <c r="CZ158" s="11"/>
      <c r="DA158" s="95"/>
      <c r="DB158" s="95"/>
      <c r="DC158" s="95"/>
      <c r="DD158" s="95"/>
      <c r="DE158" s="95"/>
      <c r="DF158" s="95"/>
      <c r="DG158" s="95"/>
      <c r="DH158" s="95"/>
      <c r="DI158" s="95"/>
      <c r="DJ158" s="95"/>
      <c r="DK158" s="95"/>
      <c r="DL158" s="95"/>
      <c r="DM158" s="162"/>
      <c r="DN158" s="1"/>
      <c r="DO158" s="163"/>
      <c r="DP158" s="163"/>
      <c r="DQ158" s="131"/>
    </row>
    <row r="159" outlineLevel="1">
      <c r="A159" s="15"/>
      <c r="B159" s="118" t="s">
        <v>150</v>
      </c>
      <c r="C159" s="15"/>
      <c r="D159" s="65">
        <f t="shared" ref="D159:G159" si="889">D151+D154</f>
        <v>0</v>
      </c>
      <c r="E159" s="65">
        <f t="shared" si="889"/>
        <v>0</v>
      </c>
      <c r="F159" s="65">
        <f t="shared" si="889"/>
        <v>46877.746</v>
      </c>
      <c r="G159" s="65">
        <f t="shared" si="889"/>
        <v>0</v>
      </c>
      <c r="H159" s="17"/>
      <c r="I159" s="75">
        <f t="shared" ref="I159:I167" si="894">E159-D159</f>
        <v>0</v>
      </c>
      <c r="J159" s="60">
        <f t="shared" ref="J159:J167" si="895">IFERROR(I159/ABS(E159),0)</f>
        <v>0</v>
      </c>
      <c r="K159" s="75">
        <f t="shared" ref="K159:K167" si="896">F159-D159</f>
        <v>46877.746</v>
      </c>
      <c r="L159" s="60">
        <f t="shared" ref="L159:L167" si="897">IFERROR(K159/ABS(F159),0)</f>
        <v>1</v>
      </c>
      <c r="M159" s="75">
        <f t="shared" ref="M159:M167" si="898">G159-D159</f>
        <v>0</v>
      </c>
      <c r="N159" s="60">
        <f t="shared" ref="N159:N167" si="899">IFERROR(M159/ABS(G159),0)</f>
        <v>0</v>
      </c>
      <c r="O159" s="17"/>
      <c r="P159" s="65">
        <f t="shared" ref="P159:R159" si="890">P151+P154</f>
        <v>0</v>
      </c>
      <c r="Q159" s="65">
        <f t="shared" si="890"/>
        <v>283534.873</v>
      </c>
      <c r="R159" s="65">
        <f t="shared" si="890"/>
        <v>0</v>
      </c>
      <c r="S159" s="17"/>
      <c r="T159" s="75">
        <f t="shared" ref="T159:T167" si="900">Q159-P159</f>
        <v>283534.873</v>
      </c>
      <c r="U159" s="60">
        <f t="shared" ref="U159:U167" si="901">IFERROR(T159/ABS(Q159),0)</f>
        <v>1</v>
      </c>
      <c r="V159" s="75">
        <f t="shared" ref="V159:V167" si="902">R159-P159</f>
        <v>0</v>
      </c>
      <c r="W159" s="60">
        <f t="shared" ref="W159:W167" si="903">IFERROR(V159/ABS(R159),0)</f>
        <v>0</v>
      </c>
      <c r="X159" s="17"/>
      <c r="Y159" s="65">
        <f t="shared" ref="Y159:AB159" si="891">Y151+Y154</f>
        <v>150486.84</v>
      </c>
      <c r="Z159" s="65">
        <f t="shared" si="891"/>
        <v>295281.159</v>
      </c>
      <c r="AA159" s="65">
        <f t="shared" si="891"/>
        <v>578816.032</v>
      </c>
      <c r="AB159" s="65">
        <f t="shared" si="891"/>
        <v>0</v>
      </c>
      <c r="AC159" s="17"/>
      <c r="AD159" s="75">
        <f t="shared" ref="AD159:AD167" si="904">AA159-Y159</f>
        <v>428329.192</v>
      </c>
      <c r="AE159" s="60">
        <f t="shared" ref="AE159:AE167" si="905">IFERROR(AD159/ABS(AA159),0)</f>
        <v>0.7400092056</v>
      </c>
      <c r="AF159" s="75">
        <f t="shared" ref="AF159:AF167" si="906">AB159-Y159</f>
        <v>-150486.84</v>
      </c>
      <c r="AG159" s="60">
        <f t="shared" ref="AG159:AG167" si="907">IFERROR(AF159/ABS(AB159),0)</f>
        <v>0</v>
      </c>
      <c r="AH159" s="119"/>
      <c r="AI159" s="65">
        <f t="shared" ref="AI159:AU159" si="892">AI151+AI154</f>
        <v>0</v>
      </c>
      <c r="AJ159" s="65">
        <f t="shared" si="892"/>
        <v>0</v>
      </c>
      <c r="AK159" s="65">
        <f t="shared" si="892"/>
        <v>0</v>
      </c>
      <c r="AL159" s="65">
        <f t="shared" si="892"/>
        <v>0</v>
      </c>
      <c r="AM159" s="65">
        <f t="shared" si="892"/>
        <v>0</v>
      </c>
      <c r="AN159" s="65">
        <f t="shared" si="892"/>
        <v>0</v>
      </c>
      <c r="AO159" s="65">
        <f t="shared" si="892"/>
        <v>0</v>
      </c>
      <c r="AP159" s="65">
        <f t="shared" si="892"/>
        <v>0</v>
      </c>
      <c r="AQ159" s="65">
        <f t="shared" si="892"/>
        <v>0</v>
      </c>
      <c r="AR159" s="65">
        <f t="shared" si="892"/>
        <v>48014.199</v>
      </c>
      <c r="AS159" s="65">
        <f t="shared" si="892"/>
        <v>48522.368</v>
      </c>
      <c r="AT159" s="65">
        <f t="shared" si="892"/>
        <v>53950.273</v>
      </c>
      <c r="AU159" s="65">
        <f t="shared" si="892"/>
        <v>150486.84</v>
      </c>
      <c r="AV159" s="11"/>
      <c r="AW159" s="65">
        <f t="shared" ref="AW159:BI159" si="893">AW151+AW154</f>
        <v>0</v>
      </c>
      <c r="AX159" s="65">
        <f t="shared" si="893"/>
        <v>0</v>
      </c>
      <c r="AY159" s="65">
        <f t="shared" si="893"/>
        <v>0</v>
      </c>
      <c r="AZ159" s="65">
        <f t="shared" si="893"/>
        <v>0</v>
      </c>
      <c r="BA159" s="65">
        <f t="shared" si="893"/>
        <v>0</v>
      </c>
      <c r="BB159" s="65">
        <f t="shared" si="893"/>
        <v>0</v>
      </c>
      <c r="BC159" s="65">
        <f t="shared" si="893"/>
        <v>48249.583</v>
      </c>
      <c r="BD159" s="65">
        <f t="shared" si="893"/>
        <v>48499.768</v>
      </c>
      <c r="BE159" s="65">
        <f t="shared" si="893"/>
        <v>48044.968</v>
      </c>
      <c r="BF159" s="65">
        <f t="shared" si="893"/>
        <v>48014.199</v>
      </c>
      <c r="BG159" s="65">
        <f t="shared" si="893"/>
        <v>48522.368</v>
      </c>
      <c r="BH159" s="65">
        <f t="shared" si="893"/>
        <v>53950.273</v>
      </c>
      <c r="BI159" s="65">
        <f t="shared" si="893"/>
        <v>295281.159</v>
      </c>
      <c r="BJ159" s="119"/>
      <c r="BK159" s="129">
        <v>46521.517</v>
      </c>
      <c r="BL159" s="129">
        <v>49278.279</v>
      </c>
      <c r="BM159" s="129">
        <v>46596.159</v>
      </c>
      <c r="BN159" s="129">
        <v>46988.466</v>
      </c>
      <c r="BO159" s="129">
        <v>47272.706</v>
      </c>
      <c r="BP159" s="129">
        <v>46877.746</v>
      </c>
      <c r="BQ159" s="129">
        <v>48249.583</v>
      </c>
      <c r="BR159" s="129">
        <v>48499.768</v>
      </c>
      <c r="BS159" s="129">
        <v>48044.968</v>
      </c>
      <c r="BT159" s="129">
        <v>48014.199</v>
      </c>
      <c r="BU159" s="129">
        <v>48522.368</v>
      </c>
      <c r="BV159" s="129">
        <v>53950.273</v>
      </c>
      <c r="BW159" s="129">
        <v>578816.032</v>
      </c>
      <c r="BX159" s="1"/>
      <c r="BY159" s="65"/>
      <c r="BZ159" s="65"/>
      <c r="CA159" s="65"/>
      <c r="CB159" s="65"/>
      <c r="CC159" s="65"/>
      <c r="CD159" s="65"/>
      <c r="CE159" s="65"/>
      <c r="CF159" s="65"/>
      <c r="CG159" s="65"/>
      <c r="CH159" s="65"/>
      <c r="CI159" s="65"/>
      <c r="CJ159" s="65"/>
      <c r="CK159" s="65"/>
      <c r="CL159" s="65"/>
      <c r="CM159" s="65"/>
      <c r="CN159" s="65"/>
      <c r="CO159" s="65"/>
      <c r="CP159" s="65"/>
      <c r="CQ159" s="65"/>
      <c r="CR159" s="65"/>
      <c r="CS159" s="65"/>
      <c r="CT159" s="65"/>
      <c r="CU159" s="65"/>
      <c r="CV159" s="65"/>
      <c r="CW159" s="65"/>
      <c r="CX159" s="65"/>
      <c r="CY159" s="65"/>
      <c r="CZ159" s="11"/>
      <c r="DA159" s="65">
        <f>DA151+DA154</f>
        <v>46521.517</v>
      </c>
      <c r="DB159" s="65"/>
      <c r="DC159" s="65"/>
      <c r="DD159" s="65"/>
      <c r="DE159" s="65"/>
      <c r="DF159" s="65"/>
      <c r="DG159" s="65"/>
      <c r="DH159" s="65"/>
      <c r="DI159" s="65"/>
      <c r="DJ159" s="65"/>
      <c r="DK159" s="65"/>
      <c r="DL159" s="65"/>
      <c r="DM159" s="65">
        <f>DM151+DM154</f>
        <v>46521.517</v>
      </c>
      <c r="DN159" s="1"/>
      <c r="DO159" s="224"/>
      <c r="DP159" s="224"/>
      <c r="DQ159" s="131"/>
    </row>
    <row r="160" outlineLevel="2">
      <c r="A160" s="15"/>
      <c r="B160" s="123" t="s">
        <v>151</v>
      </c>
      <c r="C160" s="124"/>
      <c r="D160" s="225">
        <f t="shared" ref="D160:D164" si="910">SUMIFS($CM160:$CX160,$CM$35:$CX$35,$D$2)</f>
        <v>0</v>
      </c>
      <c r="E160" s="225">
        <f t="shared" ref="E160:E164" si="911">SUMIFS($DA160:$DM160,$DA$35:$DM$35,$D$2)</f>
        <v>0</v>
      </c>
      <c r="F160" s="225">
        <f t="shared" ref="F160:F164" si="912">SUMIFS($BK160:$BV160,$BK$35:$BV$35,$D$2)</f>
        <v>0</v>
      </c>
      <c r="G160" s="225">
        <f t="shared" ref="G160:G164" si="913">SUMIFS($BY160:$CJ160,$BY$35:$CJ$35,$D$2)</f>
        <v>0</v>
      </c>
      <c r="H160" s="175"/>
      <c r="I160" s="176">
        <f t="shared" si="894"/>
        <v>0</v>
      </c>
      <c r="J160" s="177">
        <f t="shared" si="895"/>
        <v>0</v>
      </c>
      <c r="K160" s="176">
        <f t="shared" si="896"/>
        <v>0</v>
      </c>
      <c r="L160" s="177">
        <f t="shared" si="897"/>
        <v>0</v>
      </c>
      <c r="M160" s="176">
        <f t="shared" si="898"/>
        <v>0</v>
      </c>
      <c r="N160" s="177">
        <f t="shared" si="899"/>
        <v>0</v>
      </c>
      <c r="O160" s="175"/>
      <c r="P160" s="225">
        <f t="shared" ref="P160:P164" si="914">SUMIFS($CM160:$CX160,$CM$35:$CX$35,$P$2)</f>
        <v>0</v>
      </c>
      <c r="Q160" s="225">
        <f t="shared" ref="Q160:Q164" si="915">SUMIFS($BK160:$BV160,$BK$35:$BV$35,$P$2)</f>
        <v>116.39</v>
      </c>
      <c r="R160" s="225">
        <f t="shared" ref="R160:R164" si="916">SUMIFS($BY160:$CJ160,$BY$35:$CJ$35,$P$2)</f>
        <v>0</v>
      </c>
      <c r="S160" s="48"/>
      <c r="T160" s="66">
        <f t="shared" si="900"/>
        <v>116.39</v>
      </c>
      <c r="U160" s="67">
        <f t="shared" si="901"/>
        <v>1</v>
      </c>
      <c r="V160" s="66">
        <f t="shared" si="902"/>
        <v>0</v>
      </c>
      <c r="W160" s="67">
        <f t="shared" si="903"/>
        <v>0</v>
      </c>
      <c r="X160" s="48"/>
      <c r="Y160" s="47">
        <f t="shared" ref="Y160:Y164" si="917">$AU160</f>
        <v>122.8</v>
      </c>
      <c r="Z160" s="47">
        <f t="shared" ref="Z160:Z164" si="918">$BI160</f>
        <v>183.36</v>
      </c>
      <c r="AA160" s="225">
        <f t="shared" ref="AA160:AA164" si="919">$BW160</f>
        <v>299.75</v>
      </c>
      <c r="AB160" s="95" t="str">
        <f t="shared" ref="AB160:AB164" si="920">$CK160</f>
        <v/>
      </c>
      <c r="AC160" s="125"/>
      <c r="AD160" s="66">
        <f t="shared" si="904"/>
        <v>176.95</v>
      </c>
      <c r="AE160" s="67">
        <f t="shared" si="905"/>
        <v>0.5903252711</v>
      </c>
      <c r="AF160" s="66">
        <f t="shared" si="906"/>
        <v>-122.8</v>
      </c>
      <c r="AG160" s="67">
        <f t="shared" si="907"/>
        <v>0</v>
      </c>
      <c r="AH160" s="126"/>
      <c r="AI160" s="47" t="str">
        <f t="shared" ref="AI160:AI164" si="921">IFERROR(IF(AI$3="A",CM160,IF(AI$3="F",DA160)),0)</f>
        <v/>
      </c>
      <c r="AJ160" s="47" t="str">
        <f t="shared" ref="AJ160:AT160" si="908">IFERROR(IF(AJ$3="A",CN160,IF(AJ$3="F",DB160,IF(AJ$3="B",BL160,0))),"")</f>
        <v/>
      </c>
      <c r="AK160" s="47" t="str">
        <f t="shared" si="908"/>
        <v/>
      </c>
      <c r="AL160" s="47" t="str">
        <f t="shared" si="908"/>
        <v/>
      </c>
      <c r="AM160" s="47" t="str">
        <f t="shared" si="908"/>
        <v/>
      </c>
      <c r="AN160" s="47" t="str">
        <f t="shared" si="908"/>
        <v/>
      </c>
      <c r="AO160" s="47" t="str">
        <f t="shared" si="908"/>
        <v/>
      </c>
      <c r="AP160" s="47" t="str">
        <f t="shared" si="908"/>
        <v/>
      </c>
      <c r="AQ160" s="47" t="str">
        <f t="shared" si="908"/>
        <v/>
      </c>
      <c r="AR160" s="47">
        <f t="shared" si="908"/>
        <v>40.8</v>
      </c>
      <c r="AS160" s="47">
        <f t="shared" si="908"/>
        <v>40.8</v>
      </c>
      <c r="AT160" s="47">
        <f t="shared" si="908"/>
        <v>41.2</v>
      </c>
      <c r="AU160" s="65">
        <f t="shared" ref="AU160:AU164" si="923">SUM(AI160:AT160)</f>
        <v>122.8</v>
      </c>
      <c r="AV160" s="127"/>
      <c r="AW160" s="47" t="str">
        <f t="shared" ref="AW160:BH160" si="909">IFERROR(IF(AW$3="A",CM160,IF(AW$3="B",BK160)),0)</f>
        <v/>
      </c>
      <c r="AX160" s="47" t="str">
        <f t="shared" si="909"/>
        <v/>
      </c>
      <c r="AY160" s="47" t="str">
        <f t="shared" si="909"/>
        <v/>
      </c>
      <c r="AZ160" s="47" t="str">
        <f t="shared" si="909"/>
        <v/>
      </c>
      <c r="BA160" s="47" t="str">
        <f t="shared" si="909"/>
        <v/>
      </c>
      <c r="BB160" s="47" t="str">
        <f t="shared" si="909"/>
        <v/>
      </c>
      <c r="BC160" s="47">
        <f t="shared" si="909"/>
        <v>19.76</v>
      </c>
      <c r="BD160" s="47">
        <f t="shared" si="909"/>
        <v>0</v>
      </c>
      <c r="BE160" s="47">
        <f t="shared" si="909"/>
        <v>40.8</v>
      </c>
      <c r="BF160" s="47">
        <f t="shared" si="909"/>
        <v>40.8</v>
      </c>
      <c r="BG160" s="47">
        <f t="shared" si="909"/>
        <v>40.8</v>
      </c>
      <c r="BH160" s="47">
        <f t="shared" si="909"/>
        <v>41.2</v>
      </c>
      <c r="BI160" s="65">
        <f t="shared" ref="BI160:BI164" si="925">SUM(AW160:BH160)</f>
        <v>183.36</v>
      </c>
      <c r="BJ160" s="126"/>
      <c r="BK160" s="128">
        <v>59.74</v>
      </c>
      <c r="BL160" s="128">
        <v>41.2</v>
      </c>
      <c r="BM160" s="128">
        <v>15.45</v>
      </c>
      <c r="BN160" s="128">
        <v>0.0</v>
      </c>
      <c r="BO160" s="128">
        <v>0.0</v>
      </c>
      <c r="BP160" s="128">
        <v>0.0</v>
      </c>
      <c r="BQ160" s="128">
        <v>19.76</v>
      </c>
      <c r="BR160" s="128">
        <v>0.0</v>
      </c>
      <c r="BS160" s="128">
        <v>40.8</v>
      </c>
      <c r="BT160" s="128">
        <v>40.8</v>
      </c>
      <c r="BU160" s="128">
        <v>40.8</v>
      </c>
      <c r="BV160" s="128">
        <v>41.2</v>
      </c>
      <c r="BW160" s="129">
        <v>299.75</v>
      </c>
      <c r="BX160" s="1"/>
      <c r="BY160" s="47"/>
      <c r="BZ160" s="47"/>
      <c r="CA160" s="47"/>
      <c r="CB160" s="47"/>
      <c r="CC160" s="47"/>
      <c r="CD160" s="47"/>
      <c r="CE160" s="47"/>
      <c r="CF160" s="47"/>
      <c r="CG160" s="47"/>
      <c r="CH160" s="47"/>
      <c r="CI160" s="47"/>
      <c r="CJ160" s="47"/>
      <c r="CK160" s="65"/>
      <c r="CL160" s="47"/>
      <c r="CM160" s="47"/>
      <c r="CN160" s="47"/>
      <c r="CO160" s="47"/>
      <c r="CP160" s="47"/>
      <c r="CQ160" s="47"/>
      <c r="CR160" s="47"/>
      <c r="CS160" s="47"/>
      <c r="CT160" s="47"/>
      <c r="CU160" s="47"/>
      <c r="CV160" s="47"/>
      <c r="CW160" s="47"/>
      <c r="CX160" s="47"/>
      <c r="CY160" s="65"/>
      <c r="CZ160" s="11"/>
      <c r="DA160" s="47">
        <f t="shared" ref="DA160:DA164" si="926">BK160</f>
        <v>59.74</v>
      </c>
      <c r="DB160" s="47"/>
      <c r="DC160" s="47"/>
      <c r="DD160" s="47"/>
      <c r="DE160" s="47"/>
      <c r="DF160" s="47"/>
      <c r="DG160" s="47"/>
      <c r="DH160" s="47"/>
      <c r="DI160" s="47"/>
      <c r="DJ160" s="47"/>
      <c r="DK160" s="47"/>
      <c r="DL160" s="47"/>
      <c r="DM160" s="65">
        <f t="shared" ref="DM160:DM164" si="927">SUM(DA160:DL160)</f>
        <v>59.74</v>
      </c>
      <c r="DN160" s="1"/>
      <c r="DO160" s="130"/>
      <c r="DP160" s="130"/>
      <c r="DQ160" s="131"/>
    </row>
    <row r="161" outlineLevel="2">
      <c r="A161" s="15"/>
      <c r="B161" s="123" t="s">
        <v>152</v>
      </c>
      <c r="C161" s="124"/>
      <c r="D161" s="225">
        <f t="shared" si="910"/>
        <v>0</v>
      </c>
      <c r="E161" s="225">
        <f t="shared" si="911"/>
        <v>0</v>
      </c>
      <c r="F161" s="225">
        <f t="shared" si="912"/>
        <v>545</v>
      </c>
      <c r="G161" s="225">
        <f t="shared" si="913"/>
        <v>0</v>
      </c>
      <c r="H161" s="175"/>
      <c r="I161" s="176">
        <f t="shared" si="894"/>
        <v>0</v>
      </c>
      <c r="J161" s="177">
        <f t="shared" si="895"/>
        <v>0</v>
      </c>
      <c r="K161" s="176">
        <f t="shared" si="896"/>
        <v>545</v>
      </c>
      <c r="L161" s="177">
        <f t="shared" si="897"/>
        <v>1</v>
      </c>
      <c r="M161" s="176">
        <f t="shared" si="898"/>
        <v>0</v>
      </c>
      <c r="N161" s="177">
        <f t="shared" si="899"/>
        <v>0</v>
      </c>
      <c r="O161" s="175"/>
      <c r="P161" s="47">
        <f t="shared" si="914"/>
        <v>0</v>
      </c>
      <c r="Q161" s="47">
        <f t="shared" si="915"/>
        <v>5725</v>
      </c>
      <c r="R161" s="225">
        <f t="shared" si="916"/>
        <v>0</v>
      </c>
      <c r="S161" s="48"/>
      <c r="T161" s="66">
        <f t="shared" si="900"/>
        <v>5725</v>
      </c>
      <c r="U161" s="67">
        <f t="shared" si="901"/>
        <v>1</v>
      </c>
      <c r="V161" s="66">
        <f t="shared" si="902"/>
        <v>0</v>
      </c>
      <c r="W161" s="67">
        <f t="shared" si="903"/>
        <v>0</v>
      </c>
      <c r="X161" s="48"/>
      <c r="Y161" s="47">
        <f t="shared" si="917"/>
        <v>1635</v>
      </c>
      <c r="Z161" s="47">
        <f t="shared" si="918"/>
        <v>3270</v>
      </c>
      <c r="AA161" s="225">
        <f t="shared" si="919"/>
        <v>8995</v>
      </c>
      <c r="AB161" s="95" t="str">
        <f t="shared" si="920"/>
        <v/>
      </c>
      <c r="AC161" s="125"/>
      <c r="AD161" s="66">
        <f t="shared" si="904"/>
        <v>7360</v>
      </c>
      <c r="AE161" s="67">
        <f t="shared" si="905"/>
        <v>0.8182323513</v>
      </c>
      <c r="AF161" s="66">
        <f t="shared" si="906"/>
        <v>-1635</v>
      </c>
      <c r="AG161" s="67">
        <f t="shared" si="907"/>
        <v>0</v>
      </c>
      <c r="AH161" s="126"/>
      <c r="AI161" s="47" t="str">
        <f t="shared" si="921"/>
        <v/>
      </c>
      <c r="AJ161" s="47" t="str">
        <f t="shared" ref="AJ161:AT161" si="922">IFERROR(IF(AJ$3="A",CN161,IF(AJ$3="F",DB161,IF(AJ$3="B",BL161,0))),"")</f>
        <v/>
      </c>
      <c r="AK161" s="47" t="str">
        <f t="shared" si="922"/>
        <v/>
      </c>
      <c r="AL161" s="47" t="str">
        <f t="shared" si="922"/>
        <v/>
      </c>
      <c r="AM161" s="47" t="str">
        <f t="shared" si="922"/>
        <v/>
      </c>
      <c r="AN161" s="47" t="str">
        <f t="shared" si="922"/>
        <v/>
      </c>
      <c r="AO161" s="47" t="str">
        <f t="shared" si="922"/>
        <v/>
      </c>
      <c r="AP161" s="47" t="str">
        <f t="shared" si="922"/>
        <v/>
      </c>
      <c r="AQ161" s="47" t="str">
        <f t="shared" si="922"/>
        <v/>
      </c>
      <c r="AR161" s="47">
        <f t="shared" si="922"/>
        <v>545</v>
      </c>
      <c r="AS161" s="47">
        <f t="shared" si="922"/>
        <v>545</v>
      </c>
      <c r="AT161" s="47">
        <f t="shared" si="922"/>
        <v>545</v>
      </c>
      <c r="AU161" s="65">
        <f t="shared" si="923"/>
        <v>1635</v>
      </c>
      <c r="AV161" s="127"/>
      <c r="AW161" s="47" t="str">
        <f t="shared" ref="AW161:BH161" si="924">IFERROR(IF(AW$3="A",CM161,IF(AW$3="B",BK161)),0)</f>
        <v/>
      </c>
      <c r="AX161" s="47" t="str">
        <f t="shared" si="924"/>
        <v/>
      </c>
      <c r="AY161" s="47" t="str">
        <f t="shared" si="924"/>
        <v/>
      </c>
      <c r="AZ161" s="47" t="str">
        <f t="shared" si="924"/>
        <v/>
      </c>
      <c r="BA161" s="47" t="str">
        <f t="shared" si="924"/>
        <v/>
      </c>
      <c r="BB161" s="47" t="str">
        <f t="shared" si="924"/>
        <v/>
      </c>
      <c r="BC161" s="47">
        <f t="shared" si="924"/>
        <v>545</v>
      </c>
      <c r="BD161" s="47">
        <f t="shared" si="924"/>
        <v>545</v>
      </c>
      <c r="BE161" s="47">
        <f t="shared" si="924"/>
        <v>545</v>
      </c>
      <c r="BF161" s="47">
        <f t="shared" si="924"/>
        <v>545</v>
      </c>
      <c r="BG161" s="47">
        <f t="shared" si="924"/>
        <v>545</v>
      </c>
      <c r="BH161" s="47">
        <f t="shared" si="924"/>
        <v>545</v>
      </c>
      <c r="BI161" s="65">
        <f t="shared" si="925"/>
        <v>3270</v>
      </c>
      <c r="BJ161" s="126"/>
      <c r="BK161" s="128">
        <v>545.0</v>
      </c>
      <c r="BL161" s="128">
        <v>545.0</v>
      </c>
      <c r="BM161" s="128">
        <v>545.0</v>
      </c>
      <c r="BN161" s="128">
        <v>3000.0</v>
      </c>
      <c r="BO161" s="128">
        <v>545.0</v>
      </c>
      <c r="BP161" s="128">
        <v>545.0</v>
      </c>
      <c r="BQ161" s="128">
        <v>545.0</v>
      </c>
      <c r="BR161" s="128">
        <v>545.0</v>
      </c>
      <c r="BS161" s="128">
        <v>545.0</v>
      </c>
      <c r="BT161" s="128">
        <v>545.0</v>
      </c>
      <c r="BU161" s="128">
        <v>545.0</v>
      </c>
      <c r="BV161" s="128">
        <v>545.0</v>
      </c>
      <c r="BW161" s="129">
        <v>8995.0</v>
      </c>
      <c r="BX161" s="1"/>
      <c r="BY161" s="47"/>
      <c r="BZ161" s="47"/>
      <c r="CA161" s="47"/>
      <c r="CB161" s="47"/>
      <c r="CC161" s="47"/>
      <c r="CD161" s="47"/>
      <c r="CE161" s="47"/>
      <c r="CF161" s="47"/>
      <c r="CG161" s="47"/>
      <c r="CH161" s="47"/>
      <c r="CI161" s="47"/>
      <c r="CJ161" s="47"/>
      <c r="CK161" s="65"/>
      <c r="CL161" s="47"/>
      <c r="CM161" s="47"/>
      <c r="CN161" s="47"/>
      <c r="CO161" s="47"/>
      <c r="CP161" s="47"/>
      <c r="CQ161" s="47"/>
      <c r="CR161" s="47"/>
      <c r="CS161" s="47"/>
      <c r="CT161" s="47"/>
      <c r="CU161" s="47"/>
      <c r="CV161" s="47"/>
      <c r="CW161" s="47"/>
      <c r="CX161" s="47"/>
      <c r="CY161" s="65"/>
      <c r="CZ161" s="11"/>
      <c r="DA161" s="47">
        <f t="shared" si="926"/>
        <v>545</v>
      </c>
      <c r="DB161" s="47"/>
      <c r="DC161" s="47"/>
      <c r="DD161" s="47"/>
      <c r="DE161" s="47"/>
      <c r="DF161" s="47"/>
      <c r="DG161" s="47"/>
      <c r="DH161" s="47"/>
      <c r="DI161" s="47"/>
      <c r="DJ161" s="47"/>
      <c r="DK161" s="47"/>
      <c r="DL161" s="47"/>
      <c r="DM161" s="65">
        <f t="shared" si="927"/>
        <v>545</v>
      </c>
      <c r="DN161" s="1"/>
      <c r="DO161" s="130"/>
      <c r="DP161" s="130"/>
      <c r="DQ161" s="131"/>
    </row>
    <row r="162" outlineLevel="2">
      <c r="A162" s="15"/>
      <c r="B162" s="226" t="s">
        <v>153</v>
      </c>
      <c r="C162" s="124"/>
      <c r="D162" s="225">
        <f t="shared" si="910"/>
        <v>0</v>
      </c>
      <c r="E162" s="225">
        <f t="shared" si="911"/>
        <v>0</v>
      </c>
      <c r="F162" s="225">
        <f t="shared" si="912"/>
        <v>620.4</v>
      </c>
      <c r="G162" s="225">
        <f t="shared" si="913"/>
        <v>0</v>
      </c>
      <c r="H162" s="175"/>
      <c r="I162" s="176">
        <f t="shared" si="894"/>
        <v>0</v>
      </c>
      <c r="J162" s="177">
        <f t="shared" si="895"/>
        <v>0</v>
      </c>
      <c r="K162" s="176">
        <f t="shared" si="896"/>
        <v>620.4</v>
      </c>
      <c r="L162" s="177">
        <f t="shared" si="897"/>
        <v>1</v>
      </c>
      <c r="M162" s="176">
        <f t="shared" si="898"/>
        <v>0</v>
      </c>
      <c r="N162" s="177">
        <f t="shared" si="899"/>
        <v>0</v>
      </c>
      <c r="O162" s="175"/>
      <c r="P162" s="47">
        <f t="shared" si="914"/>
        <v>0</v>
      </c>
      <c r="Q162" s="47">
        <f t="shared" si="915"/>
        <v>10420.3</v>
      </c>
      <c r="R162" s="225">
        <f t="shared" si="916"/>
        <v>0</v>
      </c>
      <c r="S162" s="48"/>
      <c r="T162" s="66">
        <f t="shared" si="900"/>
        <v>10420.3</v>
      </c>
      <c r="U162" s="67">
        <f t="shared" si="901"/>
        <v>1</v>
      </c>
      <c r="V162" s="66">
        <f t="shared" si="902"/>
        <v>0</v>
      </c>
      <c r="W162" s="67">
        <f t="shared" si="903"/>
        <v>0</v>
      </c>
      <c r="X162" s="48"/>
      <c r="Y162" s="47">
        <f t="shared" si="917"/>
        <v>2167</v>
      </c>
      <c r="Z162" s="47">
        <f t="shared" si="918"/>
        <v>4269.1</v>
      </c>
      <c r="AA162" s="225">
        <f t="shared" si="919"/>
        <v>14689.4</v>
      </c>
      <c r="AB162" s="95" t="str">
        <f t="shared" si="920"/>
        <v/>
      </c>
      <c r="AC162" s="125"/>
      <c r="AD162" s="66">
        <f t="shared" si="904"/>
        <v>12522.4</v>
      </c>
      <c r="AE162" s="67">
        <f t="shared" si="905"/>
        <v>0.8524786581</v>
      </c>
      <c r="AF162" s="66">
        <f t="shared" si="906"/>
        <v>-2167</v>
      </c>
      <c r="AG162" s="67">
        <f t="shared" si="907"/>
        <v>0</v>
      </c>
      <c r="AH162" s="126"/>
      <c r="AI162" s="47" t="str">
        <f t="shared" si="921"/>
        <v/>
      </c>
      <c r="AJ162" s="47" t="str">
        <f t="shared" ref="AJ162:AT162" si="928">IFERROR(IF(AJ$3="A",CN162,IF(AJ$3="F",DB162,IF(AJ$3="B",BL162,0))),"")</f>
        <v/>
      </c>
      <c r="AK162" s="47" t="str">
        <f t="shared" si="928"/>
        <v/>
      </c>
      <c r="AL162" s="47" t="str">
        <f t="shared" si="928"/>
        <v/>
      </c>
      <c r="AM162" s="47" t="str">
        <f t="shared" si="928"/>
        <v/>
      </c>
      <c r="AN162" s="47" t="str">
        <f t="shared" si="928"/>
        <v/>
      </c>
      <c r="AO162" s="47" t="str">
        <f t="shared" si="928"/>
        <v/>
      </c>
      <c r="AP162" s="47" t="str">
        <f t="shared" si="928"/>
        <v/>
      </c>
      <c r="AQ162" s="47" t="str">
        <f t="shared" si="928"/>
        <v/>
      </c>
      <c r="AR162" s="47">
        <f t="shared" si="928"/>
        <v>475.2</v>
      </c>
      <c r="AS162" s="47">
        <f t="shared" si="928"/>
        <v>1243</v>
      </c>
      <c r="AT162" s="47">
        <f t="shared" si="928"/>
        <v>448.8</v>
      </c>
      <c r="AU162" s="65">
        <f t="shared" si="923"/>
        <v>2167</v>
      </c>
      <c r="AV162" s="127"/>
      <c r="AW162" s="47" t="str">
        <f t="shared" ref="AW162:BH162" si="929">IFERROR(IF(AW$3="A",CM162,IF(AW$3="B",BK162)),0)</f>
        <v/>
      </c>
      <c r="AX162" s="47" t="str">
        <f t="shared" si="929"/>
        <v/>
      </c>
      <c r="AY162" s="47" t="str">
        <f t="shared" si="929"/>
        <v/>
      </c>
      <c r="AZ162" s="47" t="str">
        <f t="shared" si="929"/>
        <v/>
      </c>
      <c r="BA162" s="47" t="str">
        <f t="shared" si="929"/>
        <v/>
      </c>
      <c r="BB162" s="47" t="str">
        <f t="shared" si="929"/>
        <v/>
      </c>
      <c r="BC162" s="47">
        <f t="shared" si="929"/>
        <v>459.8</v>
      </c>
      <c r="BD162" s="47">
        <f t="shared" si="929"/>
        <v>652.3</v>
      </c>
      <c r="BE162" s="47">
        <f t="shared" si="929"/>
        <v>990</v>
      </c>
      <c r="BF162" s="47">
        <f t="shared" si="929"/>
        <v>475.2</v>
      </c>
      <c r="BG162" s="47">
        <f t="shared" si="929"/>
        <v>1243</v>
      </c>
      <c r="BH162" s="47">
        <f t="shared" si="929"/>
        <v>448.8</v>
      </c>
      <c r="BI162" s="65">
        <f t="shared" si="925"/>
        <v>4269.1</v>
      </c>
      <c r="BJ162" s="126"/>
      <c r="BK162" s="128">
        <v>353.1</v>
      </c>
      <c r="BL162" s="128">
        <v>568.7</v>
      </c>
      <c r="BM162" s="128">
        <v>2080.1</v>
      </c>
      <c r="BN162" s="128">
        <v>3602.5</v>
      </c>
      <c r="BO162" s="128">
        <v>3195.5</v>
      </c>
      <c r="BP162" s="128">
        <v>620.4</v>
      </c>
      <c r="BQ162" s="128">
        <v>459.8</v>
      </c>
      <c r="BR162" s="128">
        <v>652.3</v>
      </c>
      <c r="BS162" s="128">
        <v>990.0</v>
      </c>
      <c r="BT162" s="128">
        <v>475.2</v>
      </c>
      <c r="BU162" s="128">
        <v>1243.0</v>
      </c>
      <c r="BV162" s="128">
        <v>448.8</v>
      </c>
      <c r="BW162" s="129">
        <v>14689.4</v>
      </c>
      <c r="BX162" s="1"/>
      <c r="BY162" s="47"/>
      <c r="BZ162" s="47"/>
      <c r="CA162" s="47"/>
      <c r="CB162" s="47"/>
      <c r="CC162" s="47"/>
      <c r="CD162" s="47"/>
      <c r="CE162" s="47"/>
      <c r="CF162" s="47"/>
      <c r="CG162" s="47"/>
      <c r="CH162" s="47"/>
      <c r="CI162" s="47"/>
      <c r="CJ162" s="47"/>
      <c r="CK162" s="65"/>
      <c r="CL162" s="47"/>
      <c r="CM162" s="47"/>
      <c r="CN162" s="47"/>
      <c r="CO162" s="47"/>
      <c r="CP162" s="47"/>
      <c r="CQ162" s="47"/>
      <c r="CR162" s="47"/>
      <c r="CS162" s="47"/>
      <c r="CT162" s="47"/>
      <c r="CU162" s="47"/>
      <c r="CV162" s="47"/>
      <c r="CW162" s="47"/>
      <c r="CX162" s="47"/>
      <c r="CY162" s="65"/>
      <c r="CZ162" s="11"/>
      <c r="DA162" s="47">
        <f t="shared" si="926"/>
        <v>353.1</v>
      </c>
      <c r="DB162" s="47"/>
      <c r="DC162" s="47"/>
      <c r="DD162" s="47"/>
      <c r="DE162" s="47"/>
      <c r="DF162" s="47"/>
      <c r="DG162" s="47"/>
      <c r="DH162" s="47"/>
      <c r="DI162" s="47"/>
      <c r="DJ162" s="47"/>
      <c r="DK162" s="47"/>
      <c r="DL162" s="47"/>
      <c r="DM162" s="65">
        <f t="shared" si="927"/>
        <v>353.1</v>
      </c>
      <c r="DN162" s="1"/>
      <c r="DO162" s="130"/>
      <c r="DP162" s="130"/>
      <c r="DQ162" s="131"/>
    </row>
    <row r="163" outlineLevel="2">
      <c r="A163" s="15"/>
      <c r="B163" s="227" t="s">
        <v>154</v>
      </c>
      <c r="C163" s="15"/>
      <c r="D163" s="225">
        <f t="shared" si="910"/>
        <v>0</v>
      </c>
      <c r="E163" s="225">
        <f t="shared" si="911"/>
        <v>0</v>
      </c>
      <c r="F163" s="225">
        <f t="shared" si="912"/>
        <v>786</v>
      </c>
      <c r="G163" s="225">
        <f t="shared" si="913"/>
        <v>0</v>
      </c>
      <c r="H163" s="175"/>
      <c r="I163" s="176">
        <f t="shared" si="894"/>
        <v>0</v>
      </c>
      <c r="J163" s="177">
        <f t="shared" si="895"/>
        <v>0</v>
      </c>
      <c r="K163" s="176">
        <f t="shared" si="896"/>
        <v>786</v>
      </c>
      <c r="L163" s="177">
        <f t="shared" si="897"/>
        <v>1</v>
      </c>
      <c r="M163" s="176">
        <f t="shared" si="898"/>
        <v>0</v>
      </c>
      <c r="N163" s="177">
        <f t="shared" si="899"/>
        <v>0</v>
      </c>
      <c r="O163" s="175"/>
      <c r="P163" s="47">
        <f t="shared" si="914"/>
        <v>0</v>
      </c>
      <c r="Q163" s="47">
        <f t="shared" si="915"/>
        <v>4696</v>
      </c>
      <c r="R163" s="225">
        <f t="shared" si="916"/>
        <v>0</v>
      </c>
      <c r="S163" s="48"/>
      <c r="T163" s="66">
        <f t="shared" si="900"/>
        <v>4696</v>
      </c>
      <c r="U163" s="67">
        <f t="shared" si="901"/>
        <v>1</v>
      </c>
      <c r="V163" s="66">
        <f t="shared" si="902"/>
        <v>0</v>
      </c>
      <c r="W163" s="67">
        <f t="shared" si="903"/>
        <v>0</v>
      </c>
      <c r="X163" s="48"/>
      <c r="Y163" s="47">
        <f t="shared" si="917"/>
        <v>3652</v>
      </c>
      <c r="Z163" s="47">
        <f t="shared" si="918"/>
        <v>6010</v>
      </c>
      <c r="AA163" s="225">
        <f t="shared" si="919"/>
        <v>10706</v>
      </c>
      <c r="AB163" s="95" t="str">
        <f t="shared" si="920"/>
        <v/>
      </c>
      <c r="AC163" s="17"/>
      <c r="AD163" s="66">
        <f t="shared" si="904"/>
        <v>7054</v>
      </c>
      <c r="AE163" s="67">
        <f t="shared" si="905"/>
        <v>0.6588828694</v>
      </c>
      <c r="AF163" s="66">
        <f t="shared" si="906"/>
        <v>-3652</v>
      </c>
      <c r="AG163" s="67">
        <f t="shared" si="907"/>
        <v>0</v>
      </c>
      <c r="AH163" s="117"/>
      <c r="AI163" s="47" t="str">
        <f t="shared" si="921"/>
        <v/>
      </c>
      <c r="AJ163" s="47" t="str">
        <f t="shared" ref="AJ163:AT163" si="930">IFERROR(IF(AJ$3="A",CN163,IF(AJ$3="F",DB163,IF(AJ$3="B",BL163,0))),"")</f>
        <v/>
      </c>
      <c r="AK163" s="47" t="str">
        <f t="shared" si="930"/>
        <v/>
      </c>
      <c r="AL163" s="47" t="str">
        <f t="shared" si="930"/>
        <v/>
      </c>
      <c r="AM163" s="47" t="str">
        <f t="shared" si="930"/>
        <v/>
      </c>
      <c r="AN163" s="47" t="str">
        <f t="shared" si="930"/>
        <v/>
      </c>
      <c r="AO163" s="47" t="str">
        <f t="shared" si="930"/>
        <v/>
      </c>
      <c r="AP163" s="47" t="str">
        <f t="shared" si="930"/>
        <v/>
      </c>
      <c r="AQ163" s="47" t="str">
        <f t="shared" si="930"/>
        <v/>
      </c>
      <c r="AR163" s="47">
        <f t="shared" si="930"/>
        <v>774</v>
      </c>
      <c r="AS163" s="47">
        <f t="shared" si="930"/>
        <v>774</v>
      </c>
      <c r="AT163" s="47">
        <f t="shared" si="930"/>
        <v>2104</v>
      </c>
      <c r="AU163" s="65">
        <f t="shared" si="923"/>
        <v>3652</v>
      </c>
      <c r="AV163" s="11"/>
      <c r="AW163" s="47" t="str">
        <f t="shared" ref="AW163:BH163" si="931">IFERROR(IF(AW$3="A",CM163,IF(AW$3="B",BK163)),0)</f>
        <v/>
      </c>
      <c r="AX163" s="47" t="str">
        <f t="shared" si="931"/>
        <v/>
      </c>
      <c r="AY163" s="47" t="str">
        <f t="shared" si="931"/>
        <v/>
      </c>
      <c r="AZ163" s="47" t="str">
        <f t="shared" si="931"/>
        <v/>
      </c>
      <c r="BA163" s="47" t="str">
        <f t="shared" si="931"/>
        <v/>
      </c>
      <c r="BB163" s="47" t="str">
        <f t="shared" si="931"/>
        <v/>
      </c>
      <c r="BC163" s="47">
        <f t="shared" si="931"/>
        <v>786</v>
      </c>
      <c r="BD163" s="47">
        <f t="shared" si="931"/>
        <v>786</v>
      </c>
      <c r="BE163" s="47">
        <f t="shared" si="931"/>
        <v>786</v>
      </c>
      <c r="BF163" s="47">
        <f t="shared" si="931"/>
        <v>774</v>
      </c>
      <c r="BG163" s="47">
        <f t="shared" si="931"/>
        <v>774</v>
      </c>
      <c r="BH163" s="47">
        <f t="shared" si="931"/>
        <v>2104</v>
      </c>
      <c r="BI163" s="65">
        <f t="shared" si="925"/>
        <v>6010</v>
      </c>
      <c r="BJ163" s="117"/>
      <c r="BK163" s="128">
        <v>776.0</v>
      </c>
      <c r="BL163" s="128">
        <v>776.0</v>
      </c>
      <c r="BM163" s="128">
        <v>786.0</v>
      </c>
      <c r="BN163" s="128">
        <v>786.0</v>
      </c>
      <c r="BO163" s="128">
        <v>786.0</v>
      </c>
      <c r="BP163" s="128">
        <v>786.0</v>
      </c>
      <c r="BQ163" s="128">
        <v>786.0</v>
      </c>
      <c r="BR163" s="128">
        <v>786.0</v>
      </c>
      <c r="BS163" s="128">
        <v>786.0</v>
      </c>
      <c r="BT163" s="128">
        <v>774.0</v>
      </c>
      <c r="BU163" s="128">
        <v>774.0</v>
      </c>
      <c r="BV163" s="128">
        <v>2104.0</v>
      </c>
      <c r="BW163" s="129">
        <v>10706.0</v>
      </c>
      <c r="BX163" s="1"/>
      <c r="BY163" s="47"/>
      <c r="BZ163" s="47"/>
      <c r="CA163" s="47"/>
      <c r="CB163" s="47"/>
      <c r="CC163" s="47"/>
      <c r="CD163" s="47"/>
      <c r="CE163" s="47"/>
      <c r="CF163" s="47"/>
      <c r="CG163" s="47"/>
      <c r="CH163" s="47"/>
      <c r="CI163" s="47"/>
      <c r="CJ163" s="47"/>
      <c r="CK163" s="65"/>
      <c r="CL163" s="47"/>
      <c r="CM163" s="47"/>
      <c r="CN163" s="47"/>
      <c r="CO163" s="47"/>
      <c r="CP163" s="47"/>
      <c r="CQ163" s="47"/>
      <c r="CR163" s="47"/>
      <c r="CS163" s="47"/>
      <c r="CT163" s="47"/>
      <c r="CU163" s="47"/>
      <c r="CV163" s="47"/>
      <c r="CW163" s="47"/>
      <c r="CX163" s="47"/>
      <c r="CY163" s="65"/>
      <c r="CZ163" s="11"/>
      <c r="DA163" s="47">
        <f t="shared" si="926"/>
        <v>776</v>
      </c>
      <c r="DB163" s="47"/>
      <c r="DC163" s="47"/>
      <c r="DD163" s="47"/>
      <c r="DE163" s="47"/>
      <c r="DF163" s="47"/>
      <c r="DG163" s="47"/>
      <c r="DH163" s="47"/>
      <c r="DI163" s="47"/>
      <c r="DJ163" s="47"/>
      <c r="DK163" s="47"/>
      <c r="DL163" s="47"/>
      <c r="DM163" s="65">
        <f t="shared" si="927"/>
        <v>776</v>
      </c>
      <c r="DN163" s="1"/>
      <c r="DO163" s="130"/>
      <c r="DP163" s="130"/>
      <c r="DQ163" s="131"/>
    </row>
    <row r="164" outlineLevel="2">
      <c r="A164" s="15"/>
      <c r="B164" s="123" t="s">
        <v>155</v>
      </c>
      <c r="C164" s="124"/>
      <c r="D164" s="225">
        <f t="shared" si="910"/>
        <v>0</v>
      </c>
      <c r="E164" s="225">
        <f t="shared" si="911"/>
        <v>0</v>
      </c>
      <c r="F164" s="225">
        <f t="shared" si="912"/>
        <v>3557</v>
      </c>
      <c r="G164" s="225">
        <f t="shared" si="913"/>
        <v>0</v>
      </c>
      <c r="H164" s="175"/>
      <c r="I164" s="176">
        <f t="shared" si="894"/>
        <v>0</v>
      </c>
      <c r="J164" s="177">
        <f t="shared" si="895"/>
        <v>0</v>
      </c>
      <c r="K164" s="176">
        <f t="shared" si="896"/>
        <v>3557</v>
      </c>
      <c r="L164" s="177">
        <f t="shared" si="897"/>
        <v>1</v>
      </c>
      <c r="M164" s="176">
        <f t="shared" si="898"/>
        <v>0</v>
      </c>
      <c r="N164" s="177">
        <f t="shared" si="899"/>
        <v>0</v>
      </c>
      <c r="O164" s="175"/>
      <c r="P164" s="47">
        <f t="shared" si="914"/>
        <v>0</v>
      </c>
      <c r="Q164" s="47">
        <f t="shared" si="915"/>
        <v>22777.652</v>
      </c>
      <c r="R164" s="225">
        <f t="shared" si="916"/>
        <v>0</v>
      </c>
      <c r="S164" s="48"/>
      <c r="T164" s="66">
        <f t="shared" si="900"/>
        <v>22777.652</v>
      </c>
      <c r="U164" s="67">
        <f t="shared" si="901"/>
        <v>1</v>
      </c>
      <c r="V164" s="66">
        <f t="shared" si="902"/>
        <v>0</v>
      </c>
      <c r="W164" s="67">
        <f t="shared" si="903"/>
        <v>0</v>
      </c>
      <c r="X164" s="48"/>
      <c r="Y164" s="47">
        <f t="shared" si="917"/>
        <v>11652.26</v>
      </c>
      <c r="Z164" s="47">
        <f t="shared" si="918"/>
        <v>23315.906</v>
      </c>
      <c r="AA164" s="225">
        <f t="shared" si="919"/>
        <v>46093.558</v>
      </c>
      <c r="AB164" s="95" t="str">
        <f t="shared" si="920"/>
        <v/>
      </c>
      <c r="AC164" s="125"/>
      <c r="AD164" s="66">
        <f t="shared" si="904"/>
        <v>34441.298</v>
      </c>
      <c r="AE164" s="67">
        <f t="shared" si="905"/>
        <v>0.7472041538</v>
      </c>
      <c r="AF164" s="66">
        <f t="shared" si="906"/>
        <v>-11652.26</v>
      </c>
      <c r="AG164" s="67">
        <f t="shared" si="907"/>
        <v>0</v>
      </c>
      <c r="AH164" s="126"/>
      <c r="AI164" s="47" t="str">
        <f t="shared" si="921"/>
        <v/>
      </c>
      <c r="AJ164" s="47" t="str">
        <f t="shared" ref="AJ164:AT164" si="932">IFERROR(IF(AJ$3="A",CN164,IF(AJ$3="F",DB164,IF(AJ$3="B",BL164,0))),"")</f>
        <v/>
      </c>
      <c r="AK164" s="47" t="str">
        <f t="shared" si="932"/>
        <v/>
      </c>
      <c r="AL164" s="47" t="str">
        <f t="shared" si="932"/>
        <v/>
      </c>
      <c r="AM164" s="47" t="str">
        <f t="shared" si="932"/>
        <v/>
      </c>
      <c r="AN164" s="47" t="str">
        <f t="shared" si="932"/>
        <v/>
      </c>
      <c r="AO164" s="47" t="str">
        <f t="shared" si="932"/>
        <v/>
      </c>
      <c r="AP164" s="47" t="str">
        <f t="shared" si="932"/>
        <v/>
      </c>
      <c r="AQ164" s="47" t="str">
        <f t="shared" si="932"/>
        <v/>
      </c>
      <c r="AR164" s="47">
        <f t="shared" si="932"/>
        <v>3926.305</v>
      </c>
      <c r="AS164" s="47">
        <f t="shared" si="932"/>
        <v>3799.65</v>
      </c>
      <c r="AT164" s="47">
        <f t="shared" si="932"/>
        <v>3926.305</v>
      </c>
      <c r="AU164" s="65">
        <f t="shared" si="923"/>
        <v>11652.26</v>
      </c>
      <c r="AV164" s="127"/>
      <c r="AW164" s="47" t="str">
        <f t="shared" ref="AW164:BH164" si="933">IFERROR(IF(AW$3="A",CM164,IF(AW$3="B",BK164)),0)</f>
        <v/>
      </c>
      <c r="AX164" s="47" t="str">
        <f t="shared" si="933"/>
        <v/>
      </c>
      <c r="AY164" s="47" t="str">
        <f t="shared" si="933"/>
        <v/>
      </c>
      <c r="AZ164" s="47" t="str">
        <f t="shared" si="933"/>
        <v/>
      </c>
      <c r="BA164" s="47" t="str">
        <f t="shared" si="933"/>
        <v/>
      </c>
      <c r="BB164" s="47" t="str">
        <f t="shared" si="933"/>
        <v/>
      </c>
      <c r="BC164" s="47">
        <f t="shared" si="933"/>
        <v>3941.871</v>
      </c>
      <c r="BD164" s="47">
        <f t="shared" si="933"/>
        <v>3922.125</v>
      </c>
      <c r="BE164" s="47">
        <f t="shared" si="933"/>
        <v>3799.65</v>
      </c>
      <c r="BF164" s="47">
        <f t="shared" si="933"/>
        <v>3926.305</v>
      </c>
      <c r="BG164" s="47">
        <f t="shared" si="933"/>
        <v>3799.65</v>
      </c>
      <c r="BH164" s="47">
        <f t="shared" si="933"/>
        <v>3926.305</v>
      </c>
      <c r="BI164" s="65">
        <f t="shared" si="925"/>
        <v>23315.906</v>
      </c>
      <c r="BJ164" s="126"/>
      <c r="BK164" s="128">
        <v>3711.875</v>
      </c>
      <c r="BL164" s="128">
        <v>3294.0</v>
      </c>
      <c r="BM164" s="128">
        <v>4642.891</v>
      </c>
      <c r="BN164" s="128">
        <v>3578.058</v>
      </c>
      <c r="BO164" s="128">
        <v>3993.828</v>
      </c>
      <c r="BP164" s="128">
        <v>3557.0</v>
      </c>
      <c r="BQ164" s="128">
        <v>3941.871</v>
      </c>
      <c r="BR164" s="128">
        <v>3922.125</v>
      </c>
      <c r="BS164" s="128">
        <v>3799.65</v>
      </c>
      <c r="BT164" s="128">
        <v>3926.305</v>
      </c>
      <c r="BU164" s="128">
        <v>3799.65</v>
      </c>
      <c r="BV164" s="128">
        <v>3926.305</v>
      </c>
      <c r="BW164" s="129">
        <v>46093.558</v>
      </c>
      <c r="BX164" s="1"/>
      <c r="BY164" s="47"/>
      <c r="BZ164" s="47"/>
      <c r="CA164" s="47"/>
      <c r="CB164" s="47"/>
      <c r="CC164" s="47"/>
      <c r="CD164" s="47"/>
      <c r="CE164" s="47"/>
      <c r="CF164" s="47"/>
      <c r="CG164" s="47"/>
      <c r="CH164" s="47"/>
      <c r="CI164" s="47"/>
      <c r="CJ164" s="47"/>
      <c r="CK164" s="65"/>
      <c r="CL164" s="47"/>
      <c r="CM164" s="47"/>
      <c r="CN164" s="47"/>
      <c r="CO164" s="47"/>
      <c r="CP164" s="47"/>
      <c r="CQ164" s="47"/>
      <c r="CR164" s="47"/>
      <c r="CS164" s="47"/>
      <c r="CT164" s="47"/>
      <c r="CU164" s="47"/>
      <c r="CV164" s="47"/>
      <c r="CW164" s="47"/>
      <c r="CX164" s="47"/>
      <c r="CY164" s="65"/>
      <c r="CZ164" s="11"/>
      <c r="DA164" s="47">
        <f t="shared" si="926"/>
        <v>3711.875</v>
      </c>
      <c r="DB164" s="47"/>
      <c r="DC164" s="47"/>
      <c r="DD164" s="47"/>
      <c r="DE164" s="47"/>
      <c r="DF164" s="47"/>
      <c r="DG164" s="47"/>
      <c r="DH164" s="47"/>
      <c r="DI164" s="47"/>
      <c r="DJ164" s="47"/>
      <c r="DK164" s="47"/>
      <c r="DL164" s="47"/>
      <c r="DM164" s="65">
        <f t="shared" si="927"/>
        <v>3711.875</v>
      </c>
      <c r="DN164" s="1"/>
      <c r="DO164" s="130"/>
      <c r="DP164" s="130"/>
      <c r="DQ164" s="131"/>
    </row>
    <row r="165" outlineLevel="1">
      <c r="A165" s="15"/>
      <c r="B165" s="107" t="s">
        <v>156</v>
      </c>
      <c r="C165" s="156"/>
      <c r="D165" s="157">
        <f t="shared" ref="D165:G165" si="934">SUM(D159:D164)</f>
        <v>0</v>
      </c>
      <c r="E165" s="157">
        <f t="shared" si="934"/>
        <v>0</v>
      </c>
      <c r="F165" s="157">
        <f t="shared" si="934"/>
        <v>52386.146</v>
      </c>
      <c r="G165" s="157">
        <f t="shared" si="934"/>
        <v>0</v>
      </c>
      <c r="H165" s="48"/>
      <c r="I165" s="75">
        <f t="shared" si="894"/>
        <v>0</v>
      </c>
      <c r="J165" s="60">
        <f t="shared" si="895"/>
        <v>0</v>
      </c>
      <c r="K165" s="75">
        <f t="shared" si="896"/>
        <v>52386.146</v>
      </c>
      <c r="L165" s="60">
        <f t="shared" si="897"/>
        <v>1</v>
      </c>
      <c r="M165" s="75">
        <f t="shared" si="898"/>
        <v>0</v>
      </c>
      <c r="N165" s="60">
        <f t="shared" si="899"/>
        <v>0</v>
      </c>
      <c r="O165" s="48"/>
      <c r="P165" s="157">
        <f t="shared" ref="P165:R165" si="935">SUM(P159:P164)</f>
        <v>0</v>
      </c>
      <c r="Q165" s="157">
        <f t="shared" si="935"/>
        <v>327270.215</v>
      </c>
      <c r="R165" s="157">
        <f t="shared" si="935"/>
        <v>0</v>
      </c>
      <c r="S165" s="48"/>
      <c r="T165" s="75">
        <f t="shared" si="900"/>
        <v>327270.215</v>
      </c>
      <c r="U165" s="60">
        <f t="shared" si="901"/>
        <v>1</v>
      </c>
      <c r="V165" s="75">
        <f t="shared" si="902"/>
        <v>0</v>
      </c>
      <c r="W165" s="60">
        <f t="shared" si="903"/>
        <v>0</v>
      </c>
      <c r="X165" s="48"/>
      <c r="Y165" s="157">
        <f t="shared" ref="Y165:AB165" si="936">SUM(Y159:Y164)</f>
        <v>169715.9</v>
      </c>
      <c r="Z165" s="157">
        <f t="shared" si="936"/>
        <v>332329.525</v>
      </c>
      <c r="AA165" s="157">
        <f t="shared" si="936"/>
        <v>659599.74</v>
      </c>
      <c r="AB165" s="157">
        <f t="shared" si="936"/>
        <v>0</v>
      </c>
      <c r="AC165" s="48"/>
      <c r="AD165" s="75">
        <f t="shared" si="904"/>
        <v>489883.84</v>
      </c>
      <c r="AE165" s="60">
        <f t="shared" si="905"/>
        <v>0.7426986554</v>
      </c>
      <c r="AF165" s="75">
        <f t="shared" si="906"/>
        <v>-169715.9</v>
      </c>
      <c r="AG165" s="60">
        <f t="shared" si="907"/>
        <v>0</v>
      </c>
      <c r="AH165" s="56"/>
      <c r="AI165" s="157">
        <f t="shared" ref="AI165:AU165" si="937">SUM(AI159:AI164)</f>
        <v>0</v>
      </c>
      <c r="AJ165" s="157">
        <f t="shared" si="937"/>
        <v>0</v>
      </c>
      <c r="AK165" s="157">
        <f t="shared" si="937"/>
        <v>0</v>
      </c>
      <c r="AL165" s="157">
        <f t="shared" si="937"/>
        <v>0</v>
      </c>
      <c r="AM165" s="157">
        <f t="shared" si="937"/>
        <v>0</v>
      </c>
      <c r="AN165" s="157">
        <f t="shared" si="937"/>
        <v>0</v>
      </c>
      <c r="AO165" s="157">
        <f t="shared" si="937"/>
        <v>0</v>
      </c>
      <c r="AP165" s="157">
        <f t="shared" si="937"/>
        <v>0</v>
      </c>
      <c r="AQ165" s="157">
        <f t="shared" si="937"/>
        <v>0</v>
      </c>
      <c r="AR165" s="157">
        <f t="shared" si="937"/>
        <v>53775.504</v>
      </c>
      <c r="AS165" s="157">
        <f t="shared" si="937"/>
        <v>54924.818</v>
      </c>
      <c r="AT165" s="157">
        <f t="shared" si="937"/>
        <v>61015.578</v>
      </c>
      <c r="AU165" s="157">
        <f t="shared" si="937"/>
        <v>169715.9</v>
      </c>
      <c r="AV165" s="55"/>
      <c r="AW165" s="157">
        <f t="shared" ref="AW165:BI165" si="938">SUM(AW159:AW164)</f>
        <v>0</v>
      </c>
      <c r="AX165" s="157">
        <f t="shared" si="938"/>
        <v>0</v>
      </c>
      <c r="AY165" s="157">
        <f t="shared" si="938"/>
        <v>0</v>
      </c>
      <c r="AZ165" s="157">
        <f t="shared" si="938"/>
        <v>0</v>
      </c>
      <c r="BA165" s="157">
        <f t="shared" si="938"/>
        <v>0</v>
      </c>
      <c r="BB165" s="157">
        <f t="shared" si="938"/>
        <v>0</v>
      </c>
      <c r="BC165" s="157">
        <f t="shared" si="938"/>
        <v>54002.014</v>
      </c>
      <c r="BD165" s="157">
        <f t="shared" si="938"/>
        <v>54405.193</v>
      </c>
      <c r="BE165" s="157">
        <f t="shared" si="938"/>
        <v>54206.418</v>
      </c>
      <c r="BF165" s="157">
        <f t="shared" si="938"/>
        <v>53775.504</v>
      </c>
      <c r="BG165" s="157">
        <f t="shared" si="938"/>
        <v>54924.818</v>
      </c>
      <c r="BH165" s="157">
        <f t="shared" si="938"/>
        <v>61015.578</v>
      </c>
      <c r="BI165" s="157">
        <f t="shared" si="938"/>
        <v>332329.525</v>
      </c>
      <c r="BJ165" s="56"/>
      <c r="BK165" s="158">
        <v>51967.232</v>
      </c>
      <c r="BL165" s="158">
        <v>54503.179</v>
      </c>
      <c r="BM165" s="158">
        <v>54665.6</v>
      </c>
      <c r="BN165" s="158">
        <v>57955.024</v>
      </c>
      <c r="BO165" s="158">
        <v>55793.034</v>
      </c>
      <c r="BP165" s="158">
        <v>52386.146</v>
      </c>
      <c r="BQ165" s="158">
        <v>54002.014</v>
      </c>
      <c r="BR165" s="158">
        <v>54405.193</v>
      </c>
      <c r="BS165" s="158">
        <v>54206.418</v>
      </c>
      <c r="BT165" s="158">
        <v>53775.504</v>
      </c>
      <c r="BU165" s="158">
        <v>54924.818</v>
      </c>
      <c r="BV165" s="158">
        <v>61015.578</v>
      </c>
      <c r="BW165" s="158">
        <v>659599.74</v>
      </c>
      <c r="BX165" s="1"/>
      <c r="BY165" s="157"/>
      <c r="BZ165" s="157"/>
      <c r="CA165" s="157"/>
      <c r="CB165" s="157"/>
      <c r="CC165" s="157"/>
      <c r="CD165" s="157"/>
      <c r="CE165" s="157"/>
      <c r="CF165" s="157"/>
      <c r="CG165" s="157"/>
      <c r="CH165" s="157"/>
      <c r="CI165" s="157"/>
      <c r="CJ165" s="157"/>
      <c r="CK165" s="157"/>
      <c r="CL165" s="159"/>
      <c r="CM165" s="157"/>
      <c r="CN165" s="157"/>
      <c r="CO165" s="157"/>
      <c r="CP165" s="157"/>
      <c r="CQ165" s="157"/>
      <c r="CR165" s="157"/>
      <c r="CS165" s="157"/>
      <c r="CT165" s="157"/>
      <c r="CU165" s="157"/>
      <c r="CV165" s="157"/>
      <c r="CW165" s="157"/>
      <c r="CX165" s="157"/>
      <c r="CY165" s="157"/>
      <c r="CZ165" s="11"/>
      <c r="DA165" s="157">
        <f>SUM(DA159:DA164)</f>
        <v>51967.232</v>
      </c>
      <c r="DB165" s="157"/>
      <c r="DC165" s="157"/>
      <c r="DD165" s="157"/>
      <c r="DE165" s="157"/>
      <c r="DF165" s="157"/>
      <c r="DG165" s="157"/>
      <c r="DH165" s="157"/>
      <c r="DI165" s="157"/>
      <c r="DJ165" s="157"/>
      <c r="DK165" s="157"/>
      <c r="DL165" s="157"/>
      <c r="DM165" s="157">
        <f>SUM(DM159:DM164)</f>
        <v>51967.232</v>
      </c>
      <c r="DN165" s="1"/>
      <c r="DO165" s="160"/>
      <c r="DP165" s="160"/>
      <c r="DQ165" s="131"/>
    </row>
    <row r="166" outlineLevel="1">
      <c r="A166" s="143"/>
      <c r="B166" s="90" t="s">
        <v>157</v>
      </c>
      <c r="C166" s="143"/>
      <c r="D166" s="148">
        <f t="shared" ref="D166:G166" si="939">IFERROR(D165/D113,0)</f>
        <v>0</v>
      </c>
      <c r="E166" s="148">
        <f t="shared" si="939"/>
        <v>0</v>
      </c>
      <c r="F166" s="148">
        <f t="shared" si="939"/>
        <v>0.1594285623</v>
      </c>
      <c r="G166" s="148">
        <f t="shared" si="939"/>
        <v>0</v>
      </c>
      <c r="H166" s="79"/>
      <c r="I166" s="228">
        <f t="shared" si="894"/>
        <v>0</v>
      </c>
      <c r="J166" s="229">
        <f t="shared" si="895"/>
        <v>0</v>
      </c>
      <c r="K166" s="228">
        <f t="shared" si="896"/>
        <v>0.1594285623</v>
      </c>
      <c r="L166" s="229">
        <f t="shared" si="897"/>
        <v>1</v>
      </c>
      <c r="M166" s="228">
        <f t="shared" si="898"/>
        <v>0</v>
      </c>
      <c r="N166" s="229">
        <f t="shared" si="899"/>
        <v>0</v>
      </c>
      <c r="O166" s="79"/>
      <c r="P166" s="148">
        <f t="shared" ref="P166:R166" si="940">IFERROR(P165/P113,0)</f>
        <v>0</v>
      </c>
      <c r="Q166" s="148">
        <f t="shared" si="940"/>
        <v>0.2151041242</v>
      </c>
      <c r="R166" s="148">
        <f t="shared" si="940"/>
        <v>0</v>
      </c>
      <c r="S166" s="79"/>
      <c r="T166" s="228">
        <f t="shared" si="900"/>
        <v>0.2151041242</v>
      </c>
      <c r="U166" s="229">
        <f t="shared" si="901"/>
        <v>1</v>
      </c>
      <c r="V166" s="228">
        <f t="shared" si="902"/>
        <v>0</v>
      </c>
      <c r="W166" s="229">
        <f t="shared" si="903"/>
        <v>0</v>
      </c>
      <c r="X166" s="79"/>
      <c r="Y166" s="148">
        <f t="shared" ref="Y166:AB166" si="941">IFERROR(Y165/Y113,0)</f>
        <v>0.1617281148</v>
      </c>
      <c r="Z166" s="148">
        <f t="shared" si="941"/>
        <v>0.1172305289</v>
      </c>
      <c r="AA166" s="148">
        <f t="shared" si="941"/>
        <v>0.1514132562</v>
      </c>
      <c r="AB166" s="148">
        <f t="shared" si="941"/>
        <v>0</v>
      </c>
      <c r="AC166" s="79"/>
      <c r="AD166" s="228">
        <f t="shared" si="904"/>
        <v>-0.0103148586</v>
      </c>
      <c r="AE166" s="229">
        <f t="shared" si="905"/>
        <v>-0.0681238807</v>
      </c>
      <c r="AF166" s="228">
        <f t="shared" si="906"/>
        <v>-0.1617281148</v>
      </c>
      <c r="AG166" s="229">
        <f t="shared" si="907"/>
        <v>0</v>
      </c>
      <c r="AH166" s="230"/>
      <c r="AI166" s="148">
        <f t="shared" ref="AI166:AU166" si="942">IFERROR(AI165/AI113,0)</f>
        <v>0</v>
      </c>
      <c r="AJ166" s="148">
        <f t="shared" si="942"/>
        <v>0</v>
      </c>
      <c r="AK166" s="148">
        <f t="shared" si="942"/>
        <v>0</v>
      </c>
      <c r="AL166" s="148">
        <f t="shared" si="942"/>
        <v>0</v>
      </c>
      <c r="AM166" s="148">
        <f t="shared" si="942"/>
        <v>0</v>
      </c>
      <c r="AN166" s="148">
        <f t="shared" si="942"/>
        <v>0</v>
      </c>
      <c r="AO166" s="148">
        <f t="shared" si="942"/>
        <v>0</v>
      </c>
      <c r="AP166" s="148">
        <f t="shared" si="942"/>
        <v>0</v>
      </c>
      <c r="AQ166" s="148">
        <f t="shared" si="942"/>
        <v>0</v>
      </c>
      <c r="AR166" s="148">
        <f t="shared" si="942"/>
        <v>0.1009862712</v>
      </c>
      <c r="AS166" s="148">
        <f t="shared" si="942"/>
        <v>0.2262159574</v>
      </c>
      <c r="AT166" s="148">
        <f t="shared" si="942"/>
        <v>0.2226123365</v>
      </c>
      <c r="AU166" s="148">
        <f t="shared" si="942"/>
        <v>0.1617281148</v>
      </c>
      <c r="AV166" s="127"/>
      <c r="AW166" s="148">
        <f t="shared" ref="AW166:BI166" si="943">IFERROR(AW165/AW113,0)</f>
        <v>0</v>
      </c>
      <c r="AX166" s="148">
        <f t="shared" si="943"/>
        <v>0</v>
      </c>
      <c r="AY166" s="148">
        <f t="shared" si="943"/>
        <v>0</v>
      </c>
      <c r="AZ166" s="148">
        <f t="shared" si="943"/>
        <v>0</v>
      </c>
      <c r="BA166" s="148">
        <f t="shared" si="943"/>
        <v>0</v>
      </c>
      <c r="BB166" s="148">
        <f t="shared" si="943"/>
        <v>0</v>
      </c>
      <c r="BC166" s="148">
        <f t="shared" si="943"/>
        <v>0.08553929292</v>
      </c>
      <c r="BD166" s="148">
        <f t="shared" si="943"/>
        <v>0.0883125867</v>
      </c>
      <c r="BE166" s="148">
        <f t="shared" si="943"/>
        <v>0.1007399568</v>
      </c>
      <c r="BF166" s="148">
        <f t="shared" si="943"/>
        <v>0.1009862712</v>
      </c>
      <c r="BG166" s="148">
        <f t="shared" si="943"/>
        <v>0.2262159574</v>
      </c>
      <c r="BH166" s="148">
        <f t="shared" si="943"/>
        <v>0.2226123365</v>
      </c>
      <c r="BI166" s="148">
        <f t="shared" si="943"/>
        <v>0.1172305289</v>
      </c>
      <c r="BJ166" s="230"/>
      <c r="BK166" s="231">
        <v>0.1391</v>
      </c>
      <c r="BL166" s="231">
        <v>0.1534</v>
      </c>
      <c r="BM166" s="231">
        <v>0.2407</v>
      </c>
      <c r="BN166" s="231">
        <v>0.327</v>
      </c>
      <c r="BO166" s="231">
        <v>0.2404</v>
      </c>
      <c r="BP166" s="231">
        <v>0.1408</v>
      </c>
      <c r="BQ166" s="231">
        <v>0.0703</v>
      </c>
      <c r="BR166" s="231">
        <v>0.07</v>
      </c>
      <c r="BS166" s="231">
        <v>0.0813</v>
      </c>
      <c r="BT166" s="231">
        <v>0.0783</v>
      </c>
      <c r="BU166" s="231">
        <v>0.1706</v>
      </c>
      <c r="BV166" s="231">
        <v>0.1702</v>
      </c>
      <c r="BW166" s="231">
        <v>0.124</v>
      </c>
      <c r="BX166" s="90"/>
      <c r="BY166" s="148"/>
      <c r="BZ166" s="148"/>
      <c r="CA166" s="148"/>
      <c r="CB166" s="148"/>
      <c r="CC166" s="148"/>
      <c r="CD166" s="148"/>
      <c r="CE166" s="148"/>
      <c r="CF166" s="148"/>
      <c r="CG166" s="148"/>
      <c r="CH166" s="148"/>
      <c r="CI166" s="148"/>
      <c r="CJ166" s="148"/>
      <c r="CK166" s="148"/>
      <c r="CL166" s="148"/>
      <c r="CM166" s="148"/>
      <c r="CN166" s="148"/>
      <c r="CO166" s="148"/>
      <c r="CP166" s="148"/>
      <c r="CQ166" s="148"/>
      <c r="CR166" s="148"/>
      <c r="CS166" s="148"/>
      <c r="CT166" s="148"/>
      <c r="CU166" s="148"/>
      <c r="CV166" s="148"/>
      <c r="CW166" s="148"/>
      <c r="CX166" s="148"/>
      <c r="CY166" s="148"/>
      <c r="CZ166" s="148"/>
      <c r="DA166" s="148">
        <f>IFERROR(DA165/DA113,0)</f>
        <v>0.158210638</v>
      </c>
      <c r="DB166" s="148"/>
      <c r="DC166" s="148"/>
      <c r="DD166" s="148"/>
      <c r="DE166" s="148"/>
      <c r="DF166" s="148"/>
      <c r="DG166" s="148"/>
      <c r="DH166" s="148"/>
      <c r="DI166" s="148"/>
      <c r="DJ166" s="148"/>
      <c r="DK166" s="148"/>
      <c r="DL166" s="148"/>
      <c r="DM166" s="148">
        <f>IFERROR(DM165/DM113,0)</f>
        <v>0.158210638</v>
      </c>
      <c r="DN166" s="90"/>
      <c r="DO166" s="232"/>
      <c r="DP166" s="232"/>
      <c r="DQ166" s="170"/>
    </row>
    <row r="167" outlineLevel="1">
      <c r="A167" s="15"/>
      <c r="B167" s="123" t="s">
        <v>158</v>
      </c>
      <c r="C167" s="124"/>
      <c r="D167" s="190">
        <f t="shared" ref="D167:G167" si="944">IFERROR(D164/D150/D6,0)</f>
        <v>0</v>
      </c>
      <c r="E167" s="190">
        <f t="shared" si="944"/>
        <v>0</v>
      </c>
      <c r="F167" s="190">
        <f t="shared" si="944"/>
        <v>1.743627451</v>
      </c>
      <c r="G167" s="190">
        <f t="shared" si="944"/>
        <v>0</v>
      </c>
      <c r="H167" s="125"/>
      <c r="I167" s="190">
        <f t="shared" si="894"/>
        <v>0</v>
      </c>
      <c r="J167" s="67">
        <f t="shared" si="895"/>
        <v>0</v>
      </c>
      <c r="K167" s="190">
        <f t="shared" si="896"/>
        <v>1.743627451</v>
      </c>
      <c r="L167" s="67">
        <f t="shared" si="897"/>
        <v>1</v>
      </c>
      <c r="M167" s="190">
        <f t="shared" si="898"/>
        <v>0</v>
      </c>
      <c r="N167" s="67">
        <f t="shared" si="899"/>
        <v>0</v>
      </c>
      <c r="O167" s="125"/>
      <c r="P167" s="190">
        <f t="shared" ref="P167:R167" si="945">IFERROR(P164/P150/P6,0)</f>
        <v>0</v>
      </c>
      <c r="Q167" s="190">
        <f t="shared" si="945"/>
        <v>1.873598728</v>
      </c>
      <c r="R167" s="190">
        <f t="shared" si="945"/>
        <v>0</v>
      </c>
      <c r="S167" s="125"/>
      <c r="T167" s="190">
        <f t="shared" si="900"/>
        <v>1.873598728</v>
      </c>
      <c r="U167" s="67">
        <f t="shared" si="901"/>
        <v>1</v>
      </c>
      <c r="V167" s="190">
        <f t="shared" si="902"/>
        <v>0</v>
      </c>
      <c r="W167" s="67">
        <f t="shared" si="903"/>
        <v>0</v>
      </c>
      <c r="X167" s="125"/>
      <c r="Y167" s="190">
        <f t="shared" ref="Y167:AB167" si="946">IFERROR(Y164/Y150/Y6,0)</f>
        <v>1.749260274</v>
      </c>
      <c r="Z167" s="190">
        <f t="shared" si="946"/>
        <v>1.750114918</v>
      </c>
      <c r="AA167" s="190">
        <f t="shared" si="946"/>
        <v>1.801908879</v>
      </c>
      <c r="AB167" s="190">
        <f t="shared" si="946"/>
        <v>0</v>
      </c>
      <c r="AC167" s="125"/>
      <c r="AD167" s="190">
        <f t="shared" si="904"/>
        <v>0.05264860515</v>
      </c>
      <c r="AE167" s="67">
        <f t="shared" si="905"/>
        <v>0.02921823948</v>
      </c>
      <c r="AF167" s="190">
        <f t="shared" si="906"/>
        <v>-1.749260274</v>
      </c>
      <c r="AG167" s="67">
        <f t="shared" si="907"/>
        <v>0</v>
      </c>
      <c r="AH167" s="126"/>
      <c r="AI167" s="190">
        <f t="shared" ref="AI167:AU167" si="947">IFERROR(AI164/AI150/AI6,0)</f>
        <v>0</v>
      </c>
      <c r="AJ167" s="190">
        <f t="shared" si="947"/>
        <v>0</v>
      </c>
      <c r="AK167" s="190">
        <f t="shared" si="947"/>
        <v>0</v>
      </c>
      <c r="AL167" s="190">
        <f t="shared" si="947"/>
        <v>0</v>
      </c>
      <c r="AM167" s="190">
        <f t="shared" si="947"/>
        <v>0</v>
      </c>
      <c r="AN167" s="190">
        <f t="shared" si="947"/>
        <v>0</v>
      </c>
      <c r="AO167" s="190">
        <f t="shared" si="947"/>
        <v>0</v>
      </c>
      <c r="AP167" s="190">
        <f t="shared" si="947"/>
        <v>0</v>
      </c>
      <c r="AQ167" s="190">
        <f t="shared" si="947"/>
        <v>0</v>
      </c>
      <c r="AR167" s="190">
        <f t="shared" si="947"/>
        <v>1.735</v>
      </c>
      <c r="AS167" s="190">
        <f t="shared" si="947"/>
        <v>1.735</v>
      </c>
      <c r="AT167" s="190">
        <f t="shared" si="947"/>
        <v>1.735</v>
      </c>
      <c r="AU167" s="190">
        <f t="shared" si="947"/>
        <v>1.749260274</v>
      </c>
      <c r="AV167" s="127"/>
      <c r="AW167" s="190">
        <f t="shared" ref="AW167:BI167" si="948">IFERROR(AW164/AW150/AW6,0)</f>
        <v>0</v>
      </c>
      <c r="AX167" s="190">
        <f t="shared" si="948"/>
        <v>0</v>
      </c>
      <c r="AY167" s="190">
        <f t="shared" si="948"/>
        <v>0</v>
      </c>
      <c r="AZ167" s="190">
        <f t="shared" si="948"/>
        <v>0</v>
      </c>
      <c r="BA167" s="190">
        <f t="shared" si="948"/>
        <v>0</v>
      </c>
      <c r="BB167" s="190">
        <f t="shared" si="948"/>
        <v>0</v>
      </c>
      <c r="BC167" s="190">
        <f t="shared" si="948"/>
        <v>1.74187848</v>
      </c>
      <c r="BD167" s="190">
        <f t="shared" si="948"/>
        <v>1.733152894</v>
      </c>
      <c r="BE167" s="190">
        <f t="shared" si="948"/>
        <v>1.735</v>
      </c>
      <c r="BF167" s="190">
        <f t="shared" si="948"/>
        <v>1.735</v>
      </c>
      <c r="BG167" s="190">
        <f t="shared" si="948"/>
        <v>1.735</v>
      </c>
      <c r="BH167" s="190">
        <f t="shared" si="948"/>
        <v>1.735</v>
      </c>
      <c r="BI167" s="190">
        <f t="shared" si="948"/>
        <v>1.750114918</v>
      </c>
      <c r="BJ167" s="126"/>
      <c r="BK167" s="192">
        <v>1.7871</v>
      </c>
      <c r="BL167" s="192">
        <v>1.7559</v>
      </c>
      <c r="BM167" s="192">
        <v>2.2354</v>
      </c>
      <c r="BN167" s="192">
        <v>1.7801</v>
      </c>
      <c r="BO167" s="192">
        <v>1.9229</v>
      </c>
      <c r="BP167" s="192">
        <v>1.7436</v>
      </c>
      <c r="BQ167" s="192">
        <v>1.7419</v>
      </c>
      <c r="BR167" s="192">
        <v>1.7332</v>
      </c>
      <c r="BS167" s="192">
        <v>1.735</v>
      </c>
      <c r="BT167" s="192">
        <v>1.735</v>
      </c>
      <c r="BU167" s="192">
        <v>1.735</v>
      </c>
      <c r="BV167" s="192">
        <v>1.735</v>
      </c>
      <c r="BW167" s="192">
        <v>1.8019</v>
      </c>
      <c r="BX167" s="1"/>
      <c r="BY167" s="190"/>
      <c r="BZ167" s="190"/>
      <c r="CA167" s="190"/>
      <c r="CB167" s="190"/>
      <c r="CC167" s="190"/>
      <c r="CD167" s="190"/>
      <c r="CE167" s="190"/>
      <c r="CF167" s="190"/>
      <c r="CG167" s="190"/>
      <c r="CH167" s="190"/>
      <c r="CI167" s="190"/>
      <c r="CJ167" s="190"/>
      <c r="CK167" s="190"/>
      <c r="CL167" s="190"/>
      <c r="CM167" s="190"/>
      <c r="CN167" s="190"/>
      <c r="CO167" s="190"/>
      <c r="CP167" s="190"/>
      <c r="CQ167" s="190"/>
      <c r="CR167" s="190"/>
      <c r="CS167" s="190"/>
      <c r="CT167" s="190"/>
      <c r="CU167" s="190"/>
      <c r="CV167" s="190"/>
      <c r="CW167" s="190"/>
      <c r="CX167" s="190"/>
      <c r="CY167" s="190"/>
      <c r="CZ167" s="11"/>
      <c r="DA167" s="190">
        <f>IFERROR(DA164/DA150/DA6,0)</f>
        <v>1.787132884</v>
      </c>
      <c r="DB167" s="190"/>
      <c r="DC167" s="190"/>
      <c r="DD167" s="190"/>
      <c r="DE167" s="190"/>
      <c r="DF167" s="190"/>
      <c r="DG167" s="190"/>
      <c r="DH167" s="190"/>
      <c r="DI167" s="190"/>
      <c r="DJ167" s="190"/>
      <c r="DK167" s="190"/>
      <c r="DL167" s="190"/>
      <c r="DM167" s="190">
        <f>IFERROR(DM164/DM150/DM6,0)</f>
        <v>1.821406665</v>
      </c>
      <c r="DN167" s="1"/>
      <c r="DO167" s="130"/>
      <c r="DP167" s="130"/>
      <c r="DQ167" s="131"/>
    </row>
    <row r="168">
      <c r="A168" s="15"/>
      <c r="B168" s="124"/>
      <c r="C168" s="124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6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233"/>
      <c r="AV168" s="12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233"/>
      <c r="BJ168" s="126"/>
      <c r="BK168" s="47"/>
      <c r="BL168" s="47"/>
      <c r="BM168" s="47"/>
      <c r="BN168" s="47"/>
      <c r="BO168" s="47"/>
      <c r="BP168" s="47"/>
      <c r="BQ168" s="47"/>
      <c r="BR168" s="47"/>
      <c r="BS168" s="47"/>
      <c r="BT168" s="47"/>
      <c r="BU168" s="47"/>
      <c r="BV168" s="47"/>
      <c r="BW168" s="233"/>
      <c r="BX168" s="1"/>
      <c r="BY168" s="47"/>
      <c r="BZ168" s="47"/>
      <c r="CA168" s="47"/>
      <c r="CB168" s="47"/>
      <c r="CC168" s="47"/>
      <c r="CD168" s="47"/>
      <c r="CE168" s="47"/>
      <c r="CF168" s="47"/>
      <c r="CG168" s="47"/>
      <c r="CH168" s="47"/>
      <c r="CI168" s="47"/>
      <c r="CJ168" s="47"/>
      <c r="CK168" s="233"/>
      <c r="CL168" s="47"/>
      <c r="CM168" s="47"/>
      <c r="CN168" s="47"/>
      <c r="CO168" s="47"/>
      <c r="CP168" s="47"/>
      <c r="CQ168" s="47"/>
      <c r="CR168" s="47"/>
      <c r="CS168" s="47"/>
      <c r="CT168" s="47"/>
      <c r="CU168" s="47"/>
      <c r="CV168" s="47"/>
      <c r="CW168" s="47"/>
      <c r="CX168" s="47"/>
      <c r="CY168" s="233"/>
      <c r="CZ168" s="11"/>
      <c r="DA168" s="95"/>
      <c r="DB168" s="95"/>
      <c r="DC168" s="95"/>
      <c r="DD168" s="95"/>
      <c r="DE168" s="95"/>
      <c r="DF168" s="95"/>
      <c r="DG168" s="95"/>
      <c r="DH168" s="95"/>
      <c r="DI168" s="95"/>
      <c r="DJ168" s="95"/>
      <c r="DK168" s="95"/>
      <c r="DL168" s="95"/>
      <c r="DM168" s="234"/>
      <c r="DN168" s="1"/>
      <c r="DO168" s="235"/>
      <c r="DP168" s="235"/>
      <c r="DQ168" s="131"/>
    </row>
    <row r="169">
      <c r="A169" s="105">
        <v>5.0</v>
      </c>
      <c r="B169" s="152" t="s">
        <v>159</v>
      </c>
      <c r="C169" s="124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34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233"/>
      <c r="AV169" s="12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233"/>
      <c r="BJ169" s="134"/>
      <c r="BK169" s="47"/>
      <c r="BL169" s="47"/>
      <c r="BM169" s="47"/>
      <c r="BN169" s="47"/>
      <c r="BO169" s="47"/>
      <c r="BP169" s="47"/>
      <c r="BQ169" s="47"/>
      <c r="BR169" s="47"/>
      <c r="BS169" s="47"/>
      <c r="BT169" s="47"/>
      <c r="BU169" s="47"/>
      <c r="BV169" s="47"/>
      <c r="BW169" s="233"/>
      <c r="BX169" s="1"/>
      <c r="BY169" s="47"/>
      <c r="BZ169" s="47"/>
      <c r="CA169" s="47"/>
      <c r="CB169" s="47"/>
      <c r="CC169" s="47"/>
      <c r="CD169" s="47"/>
      <c r="CE169" s="47"/>
      <c r="CF169" s="47"/>
      <c r="CG169" s="47"/>
      <c r="CH169" s="47"/>
      <c r="CI169" s="47"/>
      <c r="CJ169" s="47"/>
      <c r="CK169" s="233"/>
      <c r="CL169" s="47"/>
      <c r="CM169" s="47"/>
      <c r="CN169" s="47"/>
      <c r="CO169" s="47"/>
      <c r="CP169" s="47"/>
      <c r="CQ169" s="47"/>
      <c r="CR169" s="47"/>
      <c r="CS169" s="47"/>
      <c r="CT169" s="47"/>
      <c r="CU169" s="47"/>
      <c r="CV169" s="47"/>
      <c r="CW169" s="47"/>
      <c r="CX169" s="47"/>
      <c r="CY169" s="233"/>
      <c r="CZ169" s="11"/>
      <c r="DA169" s="95"/>
      <c r="DB169" s="95"/>
      <c r="DC169" s="95"/>
      <c r="DD169" s="95"/>
      <c r="DE169" s="95"/>
      <c r="DF169" s="95"/>
      <c r="DG169" s="95"/>
      <c r="DH169" s="95"/>
      <c r="DI169" s="95"/>
      <c r="DJ169" s="95"/>
      <c r="DK169" s="95"/>
      <c r="DL169" s="95"/>
      <c r="DM169" s="234"/>
      <c r="DN169" s="1"/>
      <c r="DO169" s="163"/>
      <c r="DP169" s="163"/>
      <c r="DQ169" s="131"/>
    </row>
    <row r="170" outlineLevel="1">
      <c r="A170" s="15"/>
      <c r="B170" s="236" t="s">
        <v>160</v>
      </c>
      <c r="C170" s="124"/>
      <c r="D170" s="225">
        <f t="shared" ref="D170:D185" si="951">SUMIFS($CM170:$CX170,$CM$35:$CX$35,$D$2)</f>
        <v>0</v>
      </c>
      <c r="E170" s="225">
        <f t="shared" ref="E170:E185" si="952">SUMIFS($DA170:$DM170,$DA$35:$DM$35,$D$2)</f>
        <v>0</v>
      </c>
      <c r="F170" s="225">
        <f t="shared" ref="F170:F185" si="953">SUMIFS($BK170:$BV170,$BK$35:$BV$35,$D$2)</f>
        <v>518.269</v>
      </c>
      <c r="G170" s="225">
        <f t="shared" ref="G170:G185" si="954">SUMIFS($BY170:$CJ170,$BY$35:$CJ$35,$D$2)</f>
        <v>0</v>
      </c>
      <c r="H170" s="175"/>
      <c r="I170" s="176">
        <f t="shared" ref="I170:I186" si="955">E170-D170</f>
        <v>0</v>
      </c>
      <c r="J170" s="177">
        <f t="shared" ref="J170:J186" si="956">IFERROR(I170/ABS(E170),0)</f>
        <v>0</v>
      </c>
      <c r="K170" s="176">
        <f t="shared" ref="K170:K186" si="957">F170-D170</f>
        <v>518.269</v>
      </c>
      <c r="L170" s="177">
        <f t="shared" ref="L170:L186" si="958">IFERROR(K170/ABS(F170),0)</f>
        <v>1</v>
      </c>
      <c r="M170" s="176">
        <f t="shared" ref="M170:M186" si="959">G170-D170</f>
        <v>0</v>
      </c>
      <c r="N170" s="177">
        <f t="shared" ref="N170:N186" si="960">IFERROR(M170/ABS(G170),0)</f>
        <v>0</v>
      </c>
      <c r="O170" s="175"/>
      <c r="P170" s="47">
        <f t="shared" ref="P170:P185" si="961">SUMIFS($CM170:$CX170,$CM$35:$CX$35,$P$2)</f>
        <v>0</v>
      </c>
      <c r="Q170" s="225">
        <f t="shared" ref="Q170:Q185" si="962">SUMIFS($BK170:$BV170,$BK$35:$BV$35,$P$2)</f>
        <v>3109.614</v>
      </c>
      <c r="R170" s="225">
        <f t="shared" ref="R170:R185" si="963">SUMIFS($BY170:$CJ170,$BY$35:$CJ$35,$P$2)</f>
        <v>0</v>
      </c>
      <c r="S170" s="48"/>
      <c r="T170" s="66">
        <f t="shared" ref="T170:T186" si="964">Q170-P170</f>
        <v>3109.614</v>
      </c>
      <c r="U170" s="67">
        <f t="shared" ref="U170:U186" si="965">IFERROR(T170/ABS(Q170),0)</f>
        <v>1</v>
      </c>
      <c r="V170" s="66">
        <f t="shared" ref="V170:V186" si="966">R170-P170</f>
        <v>0</v>
      </c>
      <c r="W170" s="67">
        <f t="shared" ref="W170:W186" si="967">IFERROR(V170/ABS(R170),0)</f>
        <v>0</v>
      </c>
      <c r="X170" s="48"/>
      <c r="Y170" s="47">
        <f t="shared" ref="Y170:Y185" si="968">$AU170</f>
        <v>1554.807</v>
      </c>
      <c r="Z170" s="47">
        <f t="shared" ref="Z170:Z185" si="969">$BI170</f>
        <v>3109.614</v>
      </c>
      <c r="AA170" s="225">
        <f t="shared" ref="AA170:AA185" si="970">$BW170</f>
        <v>6219.228</v>
      </c>
      <c r="AB170" s="95" t="str">
        <f t="shared" ref="AB170:AB185" si="971">$CK170</f>
        <v/>
      </c>
      <c r="AC170" s="125"/>
      <c r="AD170" s="66">
        <f t="shared" ref="AD170:AD186" si="972">AA170-Y170</f>
        <v>4664.421</v>
      </c>
      <c r="AE170" s="67">
        <f t="shared" ref="AE170:AE186" si="973">IFERROR(AD170/ABS(AA170),0)</f>
        <v>0.75</v>
      </c>
      <c r="AF170" s="66">
        <f t="shared" ref="AF170:AF186" si="974">AB170-Y170</f>
        <v>-1554.807</v>
      </c>
      <c r="AG170" s="67">
        <f t="shared" ref="AG170:AG186" si="975">IFERROR(AF170/ABS(AB170),0)</f>
        <v>0</v>
      </c>
      <c r="AH170" s="126"/>
      <c r="AI170" s="47" t="str">
        <f t="shared" ref="AI170:AI185" si="976">IFERROR(IF(AI$3="A",CM170,IF(AI$3="F",DA170)),0)</f>
        <v/>
      </c>
      <c r="AJ170" s="47" t="str">
        <f t="shared" ref="AJ170:AT170" si="949">IFERROR(IF(AJ$3="A",CN170,IF(AJ$3="F",DB170,IF(AJ$3="B",BL170,0))),"")</f>
        <v/>
      </c>
      <c r="AK170" s="47" t="str">
        <f t="shared" si="949"/>
        <v/>
      </c>
      <c r="AL170" s="47" t="str">
        <f t="shared" si="949"/>
        <v/>
      </c>
      <c r="AM170" s="47" t="str">
        <f t="shared" si="949"/>
        <v/>
      </c>
      <c r="AN170" s="47" t="str">
        <f t="shared" si="949"/>
        <v/>
      </c>
      <c r="AO170" s="47" t="str">
        <f t="shared" si="949"/>
        <v/>
      </c>
      <c r="AP170" s="47" t="str">
        <f t="shared" si="949"/>
        <v/>
      </c>
      <c r="AQ170" s="47" t="str">
        <f t="shared" si="949"/>
        <v/>
      </c>
      <c r="AR170" s="47">
        <f t="shared" si="949"/>
        <v>518.269</v>
      </c>
      <c r="AS170" s="47">
        <f t="shared" si="949"/>
        <v>518.269</v>
      </c>
      <c r="AT170" s="47">
        <f t="shared" si="949"/>
        <v>518.269</v>
      </c>
      <c r="AU170" s="65">
        <f t="shared" ref="AU170:AU185" si="978">SUM(AI170:AT170)</f>
        <v>1554.807</v>
      </c>
      <c r="AV170" s="127"/>
      <c r="AW170" s="47" t="str">
        <f t="shared" ref="AW170:BH170" si="950">IFERROR(IF(AW$3="A",CM170,IF(AW$3="B",BK170)),0)</f>
        <v/>
      </c>
      <c r="AX170" s="47" t="str">
        <f t="shared" si="950"/>
        <v/>
      </c>
      <c r="AY170" s="47" t="str">
        <f t="shared" si="950"/>
        <v/>
      </c>
      <c r="AZ170" s="47" t="str">
        <f t="shared" si="950"/>
        <v/>
      </c>
      <c r="BA170" s="47" t="str">
        <f t="shared" si="950"/>
        <v/>
      </c>
      <c r="BB170" s="47" t="str">
        <f t="shared" si="950"/>
        <v/>
      </c>
      <c r="BC170" s="47">
        <f t="shared" si="950"/>
        <v>518.269</v>
      </c>
      <c r="BD170" s="47">
        <f t="shared" si="950"/>
        <v>518.269</v>
      </c>
      <c r="BE170" s="47">
        <f t="shared" si="950"/>
        <v>518.269</v>
      </c>
      <c r="BF170" s="47">
        <f t="shared" si="950"/>
        <v>518.269</v>
      </c>
      <c r="BG170" s="47">
        <f t="shared" si="950"/>
        <v>518.269</v>
      </c>
      <c r="BH170" s="47">
        <f t="shared" si="950"/>
        <v>518.269</v>
      </c>
      <c r="BI170" s="65">
        <f t="shared" ref="BI170:BI185" si="980">SUM(AW170:BH170)</f>
        <v>3109.614</v>
      </c>
      <c r="BJ170" s="126"/>
      <c r="BK170" s="128">
        <v>518.269</v>
      </c>
      <c r="BL170" s="128">
        <v>518.269</v>
      </c>
      <c r="BM170" s="128">
        <v>518.269</v>
      </c>
      <c r="BN170" s="128">
        <v>518.269</v>
      </c>
      <c r="BO170" s="128">
        <v>518.269</v>
      </c>
      <c r="BP170" s="128">
        <v>518.269</v>
      </c>
      <c r="BQ170" s="128">
        <v>518.269</v>
      </c>
      <c r="BR170" s="128">
        <v>518.269</v>
      </c>
      <c r="BS170" s="128">
        <v>518.269</v>
      </c>
      <c r="BT170" s="128">
        <v>518.269</v>
      </c>
      <c r="BU170" s="128">
        <v>518.269</v>
      </c>
      <c r="BV170" s="128">
        <v>518.269</v>
      </c>
      <c r="BW170" s="129">
        <v>6219.228</v>
      </c>
      <c r="BX170" s="1"/>
      <c r="BY170" s="47"/>
      <c r="BZ170" s="47"/>
      <c r="CA170" s="47"/>
      <c r="CB170" s="47"/>
      <c r="CC170" s="47"/>
      <c r="CD170" s="47"/>
      <c r="CE170" s="47"/>
      <c r="CF170" s="47"/>
      <c r="CG170" s="47"/>
      <c r="CH170" s="47"/>
      <c r="CI170" s="47"/>
      <c r="CJ170" s="47"/>
      <c r="CK170" s="65"/>
      <c r="CL170" s="47"/>
      <c r="CM170" s="47"/>
      <c r="CN170" s="47"/>
      <c r="CO170" s="47"/>
      <c r="CP170" s="47"/>
      <c r="CQ170" s="47"/>
      <c r="CR170" s="47"/>
      <c r="CS170" s="47"/>
      <c r="CT170" s="47"/>
      <c r="CU170" s="47"/>
      <c r="CV170" s="47"/>
      <c r="CW170" s="47"/>
      <c r="CX170" s="47"/>
      <c r="CY170" s="65"/>
      <c r="CZ170" s="11"/>
      <c r="DA170" s="47">
        <f t="shared" ref="DA170:DA185" si="981">BK170</f>
        <v>518.269</v>
      </c>
      <c r="DB170" s="47"/>
      <c r="DC170" s="47"/>
      <c r="DD170" s="47"/>
      <c r="DE170" s="47"/>
      <c r="DF170" s="47"/>
      <c r="DG170" s="47"/>
      <c r="DH170" s="47"/>
      <c r="DI170" s="47"/>
      <c r="DJ170" s="47"/>
      <c r="DK170" s="47"/>
      <c r="DL170" s="47"/>
      <c r="DM170" s="65">
        <f t="shared" ref="DM170:DM185" si="982">SUM(DA170:DL170)</f>
        <v>518.269</v>
      </c>
      <c r="DN170" s="1"/>
      <c r="DO170" s="130"/>
      <c r="DP170" s="130"/>
      <c r="DQ170" s="131"/>
    </row>
    <row r="171" outlineLevel="1">
      <c r="A171" s="15"/>
      <c r="B171" s="227" t="s">
        <v>161</v>
      </c>
      <c r="C171" s="15"/>
      <c r="D171" s="225">
        <f t="shared" si="951"/>
        <v>0</v>
      </c>
      <c r="E171" s="225">
        <f t="shared" si="952"/>
        <v>0</v>
      </c>
      <c r="F171" s="225">
        <f t="shared" si="953"/>
        <v>1230.717</v>
      </c>
      <c r="G171" s="225">
        <f t="shared" si="954"/>
        <v>0</v>
      </c>
      <c r="H171" s="175"/>
      <c r="I171" s="176">
        <f t="shared" si="955"/>
        <v>0</v>
      </c>
      <c r="J171" s="177">
        <f t="shared" si="956"/>
        <v>0</v>
      </c>
      <c r="K171" s="176">
        <f t="shared" si="957"/>
        <v>1230.717</v>
      </c>
      <c r="L171" s="177">
        <f t="shared" si="958"/>
        <v>1</v>
      </c>
      <c r="M171" s="176">
        <f t="shared" si="959"/>
        <v>0</v>
      </c>
      <c r="N171" s="177">
        <f t="shared" si="960"/>
        <v>0</v>
      </c>
      <c r="O171" s="175"/>
      <c r="P171" s="47">
        <f t="shared" si="961"/>
        <v>0</v>
      </c>
      <c r="Q171" s="225">
        <f t="shared" si="962"/>
        <v>7384.302</v>
      </c>
      <c r="R171" s="225">
        <f t="shared" si="963"/>
        <v>0</v>
      </c>
      <c r="S171" s="48"/>
      <c r="T171" s="66">
        <f t="shared" si="964"/>
        <v>7384.302</v>
      </c>
      <c r="U171" s="67">
        <f t="shared" si="965"/>
        <v>1</v>
      </c>
      <c r="V171" s="66">
        <f t="shared" si="966"/>
        <v>0</v>
      </c>
      <c r="W171" s="67">
        <f t="shared" si="967"/>
        <v>0</v>
      </c>
      <c r="X171" s="48"/>
      <c r="Y171" s="47">
        <f t="shared" si="968"/>
        <v>3692.151</v>
      </c>
      <c r="Z171" s="47">
        <f t="shared" si="969"/>
        <v>7384.302</v>
      </c>
      <c r="AA171" s="225">
        <f t="shared" si="970"/>
        <v>14768.604</v>
      </c>
      <c r="AB171" s="95" t="str">
        <f t="shared" si="971"/>
        <v/>
      </c>
      <c r="AC171" s="17"/>
      <c r="AD171" s="66">
        <f t="shared" si="972"/>
        <v>11076.453</v>
      </c>
      <c r="AE171" s="67">
        <f t="shared" si="973"/>
        <v>0.75</v>
      </c>
      <c r="AF171" s="66">
        <f t="shared" si="974"/>
        <v>-3692.151</v>
      </c>
      <c r="AG171" s="67">
        <f t="shared" si="975"/>
        <v>0</v>
      </c>
      <c r="AH171" s="117"/>
      <c r="AI171" s="47" t="str">
        <f t="shared" si="976"/>
        <v/>
      </c>
      <c r="AJ171" s="47" t="str">
        <f t="shared" ref="AJ171:AT171" si="977">IFERROR(IF(AJ$3="A",CN171,IF(AJ$3="F",DB171,IF(AJ$3="B",BL171,0))),"")</f>
        <v/>
      </c>
      <c r="AK171" s="47" t="str">
        <f t="shared" si="977"/>
        <v/>
      </c>
      <c r="AL171" s="47" t="str">
        <f t="shared" si="977"/>
        <v/>
      </c>
      <c r="AM171" s="47" t="str">
        <f t="shared" si="977"/>
        <v/>
      </c>
      <c r="AN171" s="47" t="str">
        <f t="shared" si="977"/>
        <v/>
      </c>
      <c r="AO171" s="47" t="str">
        <f t="shared" si="977"/>
        <v/>
      </c>
      <c r="AP171" s="47" t="str">
        <f t="shared" si="977"/>
        <v/>
      </c>
      <c r="AQ171" s="47" t="str">
        <f t="shared" si="977"/>
        <v/>
      </c>
      <c r="AR171" s="47">
        <f t="shared" si="977"/>
        <v>1230.717</v>
      </c>
      <c r="AS171" s="47">
        <f t="shared" si="977"/>
        <v>1230.717</v>
      </c>
      <c r="AT171" s="47">
        <f t="shared" si="977"/>
        <v>1230.717</v>
      </c>
      <c r="AU171" s="65">
        <f t="shared" si="978"/>
        <v>3692.151</v>
      </c>
      <c r="AV171" s="11"/>
      <c r="AW171" s="47" t="str">
        <f t="shared" ref="AW171:BH171" si="979">IFERROR(IF(AW$3="A",CM171,IF(AW$3="B",BK171)),0)</f>
        <v/>
      </c>
      <c r="AX171" s="47" t="str">
        <f t="shared" si="979"/>
        <v/>
      </c>
      <c r="AY171" s="47" t="str">
        <f t="shared" si="979"/>
        <v/>
      </c>
      <c r="AZ171" s="47" t="str">
        <f t="shared" si="979"/>
        <v/>
      </c>
      <c r="BA171" s="47" t="str">
        <f t="shared" si="979"/>
        <v/>
      </c>
      <c r="BB171" s="47" t="str">
        <f t="shared" si="979"/>
        <v/>
      </c>
      <c r="BC171" s="47">
        <f t="shared" si="979"/>
        <v>1230.717</v>
      </c>
      <c r="BD171" s="47">
        <f t="shared" si="979"/>
        <v>1230.717</v>
      </c>
      <c r="BE171" s="47">
        <f t="shared" si="979"/>
        <v>1230.717</v>
      </c>
      <c r="BF171" s="47">
        <f t="shared" si="979"/>
        <v>1230.717</v>
      </c>
      <c r="BG171" s="47">
        <f t="shared" si="979"/>
        <v>1230.717</v>
      </c>
      <c r="BH171" s="47">
        <f t="shared" si="979"/>
        <v>1230.717</v>
      </c>
      <c r="BI171" s="65">
        <f t="shared" si="980"/>
        <v>7384.302</v>
      </c>
      <c r="BJ171" s="117"/>
      <c r="BK171" s="128">
        <v>1230.717</v>
      </c>
      <c r="BL171" s="128">
        <v>1230.717</v>
      </c>
      <c r="BM171" s="128">
        <v>1230.717</v>
      </c>
      <c r="BN171" s="128">
        <v>1230.717</v>
      </c>
      <c r="BO171" s="128">
        <v>1230.717</v>
      </c>
      <c r="BP171" s="128">
        <v>1230.717</v>
      </c>
      <c r="BQ171" s="128">
        <v>1230.717</v>
      </c>
      <c r="BR171" s="128">
        <v>1230.717</v>
      </c>
      <c r="BS171" s="128">
        <v>1230.717</v>
      </c>
      <c r="BT171" s="128">
        <v>1230.717</v>
      </c>
      <c r="BU171" s="128">
        <v>1230.717</v>
      </c>
      <c r="BV171" s="128">
        <v>1230.717</v>
      </c>
      <c r="BW171" s="129">
        <v>14768.604</v>
      </c>
      <c r="BX171" s="1"/>
      <c r="BY171" s="47"/>
      <c r="BZ171" s="47"/>
      <c r="CA171" s="47"/>
      <c r="CB171" s="47"/>
      <c r="CC171" s="47"/>
      <c r="CD171" s="47"/>
      <c r="CE171" s="47"/>
      <c r="CF171" s="47"/>
      <c r="CG171" s="47"/>
      <c r="CH171" s="47"/>
      <c r="CI171" s="47"/>
      <c r="CJ171" s="47"/>
      <c r="CK171" s="65"/>
      <c r="CL171" s="47"/>
      <c r="CM171" s="47"/>
      <c r="CN171" s="47"/>
      <c r="CO171" s="47"/>
      <c r="CP171" s="47"/>
      <c r="CQ171" s="47"/>
      <c r="CR171" s="47"/>
      <c r="CS171" s="47"/>
      <c r="CT171" s="47"/>
      <c r="CU171" s="47"/>
      <c r="CV171" s="47"/>
      <c r="CW171" s="47"/>
      <c r="CX171" s="47"/>
      <c r="CY171" s="65"/>
      <c r="CZ171" s="11"/>
      <c r="DA171" s="47">
        <f t="shared" si="981"/>
        <v>1230.717</v>
      </c>
      <c r="DB171" s="47"/>
      <c r="DC171" s="47"/>
      <c r="DD171" s="47"/>
      <c r="DE171" s="47"/>
      <c r="DF171" s="47"/>
      <c r="DG171" s="47"/>
      <c r="DH171" s="47"/>
      <c r="DI171" s="47"/>
      <c r="DJ171" s="47"/>
      <c r="DK171" s="47"/>
      <c r="DL171" s="47"/>
      <c r="DM171" s="65">
        <f t="shared" si="982"/>
        <v>1230.717</v>
      </c>
      <c r="DN171" s="1"/>
      <c r="DO171" s="130"/>
      <c r="DP171" s="130"/>
      <c r="DQ171" s="131"/>
    </row>
    <row r="172" outlineLevel="1">
      <c r="A172" s="15"/>
      <c r="B172" s="227" t="s">
        <v>162</v>
      </c>
      <c r="C172" s="15"/>
      <c r="D172" s="225">
        <f t="shared" si="951"/>
        <v>0</v>
      </c>
      <c r="E172" s="225">
        <f t="shared" si="952"/>
        <v>0</v>
      </c>
      <c r="F172" s="225">
        <f t="shared" si="953"/>
        <v>327.643</v>
      </c>
      <c r="G172" s="225">
        <f t="shared" si="954"/>
        <v>0</v>
      </c>
      <c r="H172" s="175"/>
      <c r="I172" s="176">
        <f t="shared" si="955"/>
        <v>0</v>
      </c>
      <c r="J172" s="177">
        <f t="shared" si="956"/>
        <v>0</v>
      </c>
      <c r="K172" s="176">
        <f t="shared" si="957"/>
        <v>327.643</v>
      </c>
      <c r="L172" s="177">
        <f t="shared" si="958"/>
        <v>1</v>
      </c>
      <c r="M172" s="176">
        <f t="shared" si="959"/>
        <v>0</v>
      </c>
      <c r="N172" s="177">
        <f t="shared" si="960"/>
        <v>0</v>
      </c>
      <c r="O172" s="175"/>
      <c r="P172" s="47">
        <f t="shared" si="961"/>
        <v>0</v>
      </c>
      <c r="Q172" s="225">
        <f t="shared" si="962"/>
        <v>1795.776</v>
      </c>
      <c r="R172" s="225">
        <f t="shared" si="963"/>
        <v>0</v>
      </c>
      <c r="S172" s="48"/>
      <c r="T172" s="66">
        <f t="shared" si="964"/>
        <v>1795.776</v>
      </c>
      <c r="U172" s="67">
        <f t="shared" si="965"/>
        <v>1</v>
      </c>
      <c r="V172" s="66">
        <f t="shared" si="966"/>
        <v>0</v>
      </c>
      <c r="W172" s="67">
        <f t="shared" si="967"/>
        <v>0</v>
      </c>
      <c r="X172" s="48"/>
      <c r="Y172" s="47">
        <f t="shared" si="968"/>
        <v>1473.264</v>
      </c>
      <c r="Z172" s="47">
        <f t="shared" si="969"/>
        <v>2790.2</v>
      </c>
      <c r="AA172" s="225">
        <f t="shared" si="970"/>
        <v>4585.976</v>
      </c>
      <c r="AB172" s="95" t="str">
        <f t="shared" si="971"/>
        <v/>
      </c>
      <c r="AC172" s="17"/>
      <c r="AD172" s="66">
        <f t="shared" si="972"/>
        <v>3112.712</v>
      </c>
      <c r="AE172" s="67">
        <f t="shared" si="973"/>
        <v>0.6787458111</v>
      </c>
      <c r="AF172" s="66">
        <f t="shared" si="974"/>
        <v>-1473.264</v>
      </c>
      <c r="AG172" s="67">
        <f t="shared" si="975"/>
        <v>0</v>
      </c>
      <c r="AH172" s="117"/>
      <c r="AI172" s="47" t="str">
        <f t="shared" si="976"/>
        <v/>
      </c>
      <c r="AJ172" s="47" t="str">
        <f t="shared" ref="AJ172:AT172" si="983">IFERROR(IF(AJ$3="A",CN172,IF(AJ$3="F",DB172,IF(AJ$3="B",BL172,0))),"")</f>
        <v/>
      </c>
      <c r="AK172" s="47" t="str">
        <f t="shared" si="983"/>
        <v/>
      </c>
      <c r="AL172" s="47" t="str">
        <f t="shared" si="983"/>
        <v/>
      </c>
      <c r="AM172" s="47" t="str">
        <f t="shared" si="983"/>
        <v/>
      </c>
      <c r="AN172" s="47" t="str">
        <f t="shared" si="983"/>
        <v/>
      </c>
      <c r="AO172" s="47" t="str">
        <f t="shared" si="983"/>
        <v/>
      </c>
      <c r="AP172" s="47" t="str">
        <f t="shared" si="983"/>
        <v/>
      </c>
      <c r="AQ172" s="47" t="str">
        <f t="shared" si="983"/>
        <v/>
      </c>
      <c r="AR172" s="47">
        <f t="shared" si="983"/>
        <v>547.629</v>
      </c>
      <c r="AS172" s="47">
        <f t="shared" si="983"/>
        <v>339.838</v>
      </c>
      <c r="AT172" s="47">
        <f t="shared" si="983"/>
        <v>585.797</v>
      </c>
      <c r="AU172" s="65">
        <f t="shared" si="978"/>
        <v>1473.264</v>
      </c>
      <c r="AV172" s="11"/>
      <c r="AW172" s="47" t="str">
        <f t="shared" ref="AW172:BH172" si="984">IFERROR(IF(AW$3="A",CM172,IF(AW$3="B",BK172)),0)</f>
        <v/>
      </c>
      <c r="AX172" s="47" t="str">
        <f t="shared" si="984"/>
        <v/>
      </c>
      <c r="AY172" s="47" t="str">
        <f t="shared" si="984"/>
        <v/>
      </c>
      <c r="AZ172" s="47" t="str">
        <f t="shared" si="984"/>
        <v/>
      </c>
      <c r="BA172" s="47" t="str">
        <f t="shared" si="984"/>
        <v/>
      </c>
      <c r="BB172" s="47" t="str">
        <f t="shared" si="984"/>
        <v/>
      </c>
      <c r="BC172" s="47">
        <f t="shared" si="984"/>
        <v>478.909</v>
      </c>
      <c r="BD172" s="47">
        <f t="shared" si="984"/>
        <v>400.433</v>
      </c>
      <c r="BE172" s="47">
        <f t="shared" si="984"/>
        <v>437.594</v>
      </c>
      <c r="BF172" s="47">
        <f t="shared" si="984"/>
        <v>547.629</v>
      </c>
      <c r="BG172" s="47">
        <f t="shared" si="984"/>
        <v>339.838</v>
      </c>
      <c r="BH172" s="47">
        <f t="shared" si="984"/>
        <v>585.797</v>
      </c>
      <c r="BI172" s="65">
        <f t="shared" si="980"/>
        <v>2790.2</v>
      </c>
      <c r="BJ172" s="117"/>
      <c r="BK172" s="128">
        <v>283.455</v>
      </c>
      <c r="BL172" s="128">
        <v>371.904</v>
      </c>
      <c r="BM172" s="128">
        <v>189.801</v>
      </c>
      <c r="BN172" s="128">
        <v>336.41</v>
      </c>
      <c r="BO172" s="128">
        <v>286.563</v>
      </c>
      <c r="BP172" s="128">
        <v>327.643</v>
      </c>
      <c r="BQ172" s="128">
        <v>478.909</v>
      </c>
      <c r="BR172" s="128">
        <v>400.433</v>
      </c>
      <c r="BS172" s="128">
        <v>437.594</v>
      </c>
      <c r="BT172" s="128">
        <v>547.629</v>
      </c>
      <c r="BU172" s="128">
        <v>339.838</v>
      </c>
      <c r="BV172" s="128">
        <v>585.797</v>
      </c>
      <c r="BW172" s="129">
        <v>4585.976</v>
      </c>
      <c r="BX172" s="1"/>
      <c r="BY172" s="47"/>
      <c r="BZ172" s="47"/>
      <c r="CA172" s="47"/>
      <c r="CB172" s="47"/>
      <c r="CC172" s="47"/>
      <c r="CD172" s="47"/>
      <c r="CE172" s="47"/>
      <c r="CF172" s="47"/>
      <c r="CG172" s="47"/>
      <c r="CH172" s="47"/>
      <c r="CI172" s="47"/>
      <c r="CJ172" s="47"/>
      <c r="CK172" s="65"/>
      <c r="CL172" s="47"/>
      <c r="CM172" s="47"/>
      <c r="CN172" s="47"/>
      <c r="CO172" s="47"/>
      <c r="CP172" s="47"/>
      <c r="CQ172" s="47"/>
      <c r="CR172" s="47"/>
      <c r="CS172" s="47"/>
      <c r="CT172" s="47"/>
      <c r="CU172" s="47"/>
      <c r="CV172" s="47"/>
      <c r="CW172" s="47"/>
      <c r="CX172" s="47"/>
      <c r="CY172" s="65"/>
      <c r="CZ172" s="11"/>
      <c r="DA172" s="47">
        <f t="shared" si="981"/>
        <v>283.455</v>
      </c>
      <c r="DB172" s="47"/>
      <c r="DC172" s="47"/>
      <c r="DD172" s="47"/>
      <c r="DE172" s="47"/>
      <c r="DF172" s="47"/>
      <c r="DG172" s="47"/>
      <c r="DH172" s="47"/>
      <c r="DI172" s="47"/>
      <c r="DJ172" s="47"/>
      <c r="DK172" s="47"/>
      <c r="DL172" s="47"/>
      <c r="DM172" s="65">
        <f t="shared" si="982"/>
        <v>283.455</v>
      </c>
      <c r="DN172" s="1"/>
      <c r="DO172" s="130"/>
      <c r="DP172" s="130"/>
      <c r="DQ172" s="131"/>
    </row>
    <row r="173" outlineLevel="1">
      <c r="A173" s="15"/>
      <c r="B173" s="1" t="s">
        <v>163</v>
      </c>
      <c r="C173" s="15"/>
      <c r="D173" s="225">
        <f t="shared" si="951"/>
        <v>0</v>
      </c>
      <c r="E173" s="225">
        <f t="shared" si="952"/>
        <v>0</v>
      </c>
      <c r="F173" s="225">
        <f t="shared" si="953"/>
        <v>3205.128</v>
      </c>
      <c r="G173" s="225">
        <f t="shared" si="954"/>
        <v>0</v>
      </c>
      <c r="H173" s="175"/>
      <c r="I173" s="176">
        <f t="shared" si="955"/>
        <v>0</v>
      </c>
      <c r="J173" s="177">
        <f t="shared" si="956"/>
        <v>0</v>
      </c>
      <c r="K173" s="176">
        <f t="shared" si="957"/>
        <v>3205.128</v>
      </c>
      <c r="L173" s="177">
        <f t="shared" si="958"/>
        <v>1</v>
      </c>
      <c r="M173" s="176">
        <f t="shared" si="959"/>
        <v>0</v>
      </c>
      <c r="N173" s="177">
        <f t="shared" si="960"/>
        <v>0</v>
      </c>
      <c r="O173" s="175"/>
      <c r="P173" s="47">
        <f t="shared" si="961"/>
        <v>0</v>
      </c>
      <c r="Q173" s="225">
        <f t="shared" si="962"/>
        <v>19230.768</v>
      </c>
      <c r="R173" s="225">
        <f t="shared" si="963"/>
        <v>0</v>
      </c>
      <c r="S173" s="48"/>
      <c r="T173" s="66">
        <f t="shared" si="964"/>
        <v>19230.768</v>
      </c>
      <c r="U173" s="67">
        <f t="shared" si="965"/>
        <v>1</v>
      </c>
      <c r="V173" s="66">
        <f t="shared" si="966"/>
        <v>0</v>
      </c>
      <c r="W173" s="67">
        <f t="shared" si="967"/>
        <v>0</v>
      </c>
      <c r="X173" s="48"/>
      <c r="Y173" s="47">
        <f t="shared" si="968"/>
        <v>9615.384</v>
      </c>
      <c r="Z173" s="47">
        <f t="shared" si="969"/>
        <v>19230.768</v>
      </c>
      <c r="AA173" s="225">
        <f t="shared" si="970"/>
        <v>38461.536</v>
      </c>
      <c r="AB173" s="95" t="str">
        <f t="shared" si="971"/>
        <v/>
      </c>
      <c r="AC173" s="17"/>
      <c r="AD173" s="66">
        <f t="shared" si="972"/>
        <v>28846.152</v>
      </c>
      <c r="AE173" s="67">
        <f t="shared" si="973"/>
        <v>0.75</v>
      </c>
      <c r="AF173" s="66">
        <f t="shared" si="974"/>
        <v>-9615.384</v>
      </c>
      <c r="AG173" s="67">
        <f t="shared" si="975"/>
        <v>0</v>
      </c>
      <c r="AH173" s="117"/>
      <c r="AI173" s="47" t="str">
        <f t="shared" si="976"/>
        <v/>
      </c>
      <c r="AJ173" s="47" t="str">
        <f t="shared" ref="AJ173:AT173" si="985">IFERROR(IF(AJ$3="A",CN173,IF(AJ$3="F",DB173,IF(AJ$3="B",BL173,0))),"")</f>
        <v/>
      </c>
      <c r="AK173" s="47" t="str">
        <f t="shared" si="985"/>
        <v/>
      </c>
      <c r="AL173" s="47" t="str">
        <f t="shared" si="985"/>
        <v/>
      </c>
      <c r="AM173" s="47" t="str">
        <f t="shared" si="985"/>
        <v/>
      </c>
      <c r="AN173" s="47" t="str">
        <f t="shared" si="985"/>
        <v/>
      </c>
      <c r="AO173" s="47" t="str">
        <f t="shared" si="985"/>
        <v/>
      </c>
      <c r="AP173" s="47" t="str">
        <f t="shared" si="985"/>
        <v/>
      </c>
      <c r="AQ173" s="47" t="str">
        <f t="shared" si="985"/>
        <v/>
      </c>
      <c r="AR173" s="47">
        <f t="shared" si="985"/>
        <v>3205.128</v>
      </c>
      <c r="AS173" s="47">
        <f t="shared" si="985"/>
        <v>3205.128</v>
      </c>
      <c r="AT173" s="47">
        <f t="shared" si="985"/>
        <v>3205.128</v>
      </c>
      <c r="AU173" s="65">
        <f t="shared" si="978"/>
        <v>9615.384</v>
      </c>
      <c r="AV173" s="11"/>
      <c r="AW173" s="47" t="str">
        <f t="shared" ref="AW173:BH173" si="986">IFERROR(IF(AW$3="A",CM173,IF(AW$3="B",BK173)),0)</f>
        <v/>
      </c>
      <c r="AX173" s="47" t="str">
        <f t="shared" si="986"/>
        <v/>
      </c>
      <c r="AY173" s="47" t="str">
        <f t="shared" si="986"/>
        <v/>
      </c>
      <c r="AZ173" s="47" t="str">
        <f t="shared" si="986"/>
        <v/>
      </c>
      <c r="BA173" s="47" t="str">
        <f t="shared" si="986"/>
        <v/>
      </c>
      <c r="BB173" s="47" t="str">
        <f t="shared" si="986"/>
        <v/>
      </c>
      <c r="BC173" s="47">
        <f t="shared" si="986"/>
        <v>3205.128</v>
      </c>
      <c r="BD173" s="47">
        <f t="shared" si="986"/>
        <v>3205.128</v>
      </c>
      <c r="BE173" s="47">
        <f t="shared" si="986"/>
        <v>3205.128</v>
      </c>
      <c r="BF173" s="47">
        <f t="shared" si="986"/>
        <v>3205.128</v>
      </c>
      <c r="BG173" s="47">
        <f t="shared" si="986"/>
        <v>3205.128</v>
      </c>
      <c r="BH173" s="47">
        <f t="shared" si="986"/>
        <v>3205.128</v>
      </c>
      <c r="BI173" s="65">
        <f t="shared" si="980"/>
        <v>19230.768</v>
      </c>
      <c r="BJ173" s="117"/>
      <c r="BK173" s="128">
        <v>3205.128</v>
      </c>
      <c r="BL173" s="128">
        <v>3205.128</v>
      </c>
      <c r="BM173" s="128">
        <v>3205.128</v>
      </c>
      <c r="BN173" s="128">
        <v>3205.128</v>
      </c>
      <c r="BO173" s="128">
        <v>3205.128</v>
      </c>
      <c r="BP173" s="128">
        <v>3205.128</v>
      </c>
      <c r="BQ173" s="128">
        <v>3205.128</v>
      </c>
      <c r="BR173" s="128">
        <v>3205.128</v>
      </c>
      <c r="BS173" s="128">
        <v>3205.128</v>
      </c>
      <c r="BT173" s="128">
        <v>3205.128</v>
      </c>
      <c r="BU173" s="128">
        <v>3205.128</v>
      </c>
      <c r="BV173" s="128">
        <v>3205.128</v>
      </c>
      <c r="BW173" s="129">
        <v>38461.536</v>
      </c>
      <c r="BX173" s="1"/>
      <c r="BY173" s="47"/>
      <c r="BZ173" s="47"/>
      <c r="CA173" s="47"/>
      <c r="CB173" s="47"/>
      <c r="CC173" s="47"/>
      <c r="CD173" s="47"/>
      <c r="CE173" s="47"/>
      <c r="CF173" s="47"/>
      <c r="CG173" s="47"/>
      <c r="CH173" s="47"/>
      <c r="CI173" s="47"/>
      <c r="CJ173" s="47"/>
      <c r="CK173" s="65"/>
      <c r="CL173" s="47"/>
      <c r="CM173" s="47"/>
      <c r="CN173" s="47"/>
      <c r="CO173" s="47"/>
      <c r="CP173" s="47"/>
      <c r="CQ173" s="47"/>
      <c r="CR173" s="47"/>
      <c r="CS173" s="47"/>
      <c r="CT173" s="47"/>
      <c r="CU173" s="47"/>
      <c r="CV173" s="47"/>
      <c r="CW173" s="47"/>
      <c r="CX173" s="47"/>
      <c r="CY173" s="65"/>
      <c r="CZ173" s="11"/>
      <c r="DA173" s="47">
        <f t="shared" si="981"/>
        <v>3205.128</v>
      </c>
      <c r="DB173" s="47"/>
      <c r="DC173" s="47"/>
      <c r="DD173" s="47"/>
      <c r="DE173" s="47"/>
      <c r="DF173" s="47"/>
      <c r="DG173" s="47"/>
      <c r="DH173" s="47"/>
      <c r="DI173" s="47"/>
      <c r="DJ173" s="47"/>
      <c r="DK173" s="47"/>
      <c r="DL173" s="47"/>
      <c r="DM173" s="65">
        <f t="shared" si="982"/>
        <v>3205.128</v>
      </c>
      <c r="DN173" s="1"/>
      <c r="DO173" s="130"/>
      <c r="DP173" s="130"/>
      <c r="DQ173" s="131"/>
    </row>
    <row r="174" outlineLevel="1">
      <c r="A174" s="15"/>
      <c r="B174" s="1" t="s">
        <v>164</v>
      </c>
      <c r="C174" s="15"/>
      <c r="D174" s="225">
        <f t="shared" si="951"/>
        <v>0</v>
      </c>
      <c r="E174" s="225">
        <f t="shared" si="952"/>
        <v>0</v>
      </c>
      <c r="F174" s="225">
        <f t="shared" si="953"/>
        <v>166.26</v>
      </c>
      <c r="G174" s="225">
        <f t="shared" si="954"/>
        <v>0</v>
      </c>
      <c r="H174" s="175"/>
      <c r="I174" s="176">
        <f t="shared" si="955"/>
        <v>0</v>
      </c>
      <c r="J174" s="177">
        <f t="shared" si="956"/>
        <v>0</v>
      </c>
      <c r="K174" s="176">
        <f t="shared" si="957"/>
        <v>166.26</v>
      </c>
      <c r="L174" s="177">
        <f t="shared" si="958"/>
        <v>1</v>
      </c>
      <c r="M174" s="176">
        <f t="shared" si="959"/>
        <v>0</v>
      </c>
      <c r="N174" s="177">
        <f t="shared" si="960"/>
        <v>0</v>
      </c>
      <c r="O174" s="175"/>
      <c r="P174" s="47">
        <f t="shared" si="961"/>
        <v>0</v>
      </c>
      <c r="Q174" s="225">
        <f t="shared" si="962"/>
        <v>997.56</v>
      </c>
      <c r="R174" s="225">
        <f t="shared" si="963"/>
        <v>0</v>
      </c>
      <c r="S174" s="48"/>
      <c r="T174" s="66">
        <f t="shared" si="964"/>
        <v>997.56</v>
      </c>
      <c r="U174" s="67">
        <f t="shared" si="965"/>
        <v>1</v>
      </c>
      <c r="V174" s="66">
        <f t="shared" si="966"/>
        <v>0</v>
      </c>
      <c r="W174" s="67">
        <f t="shared" si="967"/>
        <v>0</v>
      </c>
      <c r="X174" s="48"/>
      <c r="Y174" s="47">
        <f t="shared" si="968"/>
        <v>498.78</v>
      </c>
      <c r="Z174" s="47">
        <f t="shared" si="969"/>
        <v>997.56</v>
      </c>
      <c r="AA174" s="225">
        <f t="shared" si="970"/>
        <v>1995.12</v>
      </c>
      <c r="AB174" s="95" t="str">
        <f t="shared" si="971"/>
        <v/>
      </c>
      <c r="AC174" s="17"/>
      <c r="AD174" s="66">
        <f t="shared" si="972"/>
        <v>1496.34</v>
      </c>
      <c r="AE174" s="67">
        <f t="shared" si="973"/>
        <v>0.75</v>
      </c>
      <c r="AF174" s="66">
        <f t="shared" si="974"/>
        <v>-498.78</v>
      </c>
      <c r="AG174" s="67">
        <f t="shared" si="975"/>
        <v>0</v>
      </c>
      <c r="AH174" s="117"/>
      <c r="AI174" s="47" t="str">
        <f t="shared" si="976"/>
        <v/>
      </c>
      <c r="AJ174" s="47" t="str">
        <f t="shared" ref="AJ174:AT174" si="987">IFERROR(IF(AJ$3="A",CN174,IF(AJ$3="F",DB174,IF(AJ$3="B",BL174,0))),"")</f>
        <v/>
      </c>
      <c r="AK174" s="47" t="str">
        <f t="shared" si="987"/>
        <v/>
      </c>
      <c r="AL174" s="47" t="str">
        <f t="shared" si="987"/>
        <v/>
      </c>
      <c r="AM174" s="47" t="str">
        <f t="shared" si="987"/>
        <v/>
      </c>
      <c r="AN174" s="47" t="str">
        <f t="shared" si="987"/>
        <v/>
      </c>
      <c r="AO174" s="47" t="str">
        <f t="shared" si="987"/>
        <v/>
      </c>
      <c r="AP174" s="47" t="str">
        <f t="shared" si="987"/>
        <v/>
      </c>
      <c r="AQ174" s="47" t="str">
        <f t="shared" si="987"/>
        <v/>
      </c>
      <c r="AR174" s="47">
        <f t="shared" si="987"/>
        <v>166.26</v>
      </c>
      <c r="AS174" s="47">
        <f t="shared" si="987"/>
        <v>166.26</v>
      </c>
      <c r="AT174" s="47">
        <f t="shared" si="987"/>
        <v>166.26</v>
      </c>
      <c r="AU174" s="65">
        <f t="shared" si="978"/>
        <v>498.78</v>
      </c>
      <c r="AV174" s="11"/>
      <c r="AW174" s="47" t="str">
        <f t="shared" ref="AW174:BH174" si="988">IFERROR(IF(AW$3="A",CM174,IF(AW$3="B",BK174)),0)</f>
        <v/>
      </c>
      <c r="AX174" s="47" t="str">
        <f t="shared" si="988"/>
        <v/>
      </c>
      <c r="AY174" s="47" t="str">
        <f t="shared" si="988"/>
        <v/>
      </c>
      <c r="AZ174" s="47" t="str">
        <f t="shared" si="988"/>
        <v/>
      </c>
      <c r="BA174" s="47" t="str">
        <f t="shared" si="988"/>
        <v/>
      </c>
      <c r="BB174" s="47" t="str">
        <f t="shared" si="988"/>
        <v/>
      </c>
      <c r="BC174" s="47">
        <f t="shared" si="988"/>
        <v>166.26</v>
      </c>
      <c r="BD174" s="47">
        <f t="shared" si="988"/>
        <v>166.26</v>
      </c>
      <c r="BE174" s="47">
        <f t="shared" si="988"/>
        <v>166.26</v>
      </c>
      <c r="BF174" s="47">
        <f t="shared" si="988"/>
        <v>166.26</v>
      </c>
      <c r="BG174" s="47">
        <f t="shared" si="988"/>
        <v>166.26</v>
      </c>
      <c r="BH174" s="47">
        <f t="shared" si="988"/>
        <v>166.26</v>
      </c>
      <c r="BI174" s="65">
        <f t="shared" si="980"/>
        <v>997.56</v>
      </c>
      <c r="BJ174" s="117"/>
      <c r="BK174" s="128">
        <v>166.26</v>
      </c>
      <c r="BL174" s="128">
        <v>166.26</v>
      </c>
      <c r="BM174" s="128">
        <v>166.26</v>
      </c>
      <c r="BN174" s="128">
        <v>166.26</v>
      </c>
      <c r="BO174" s="128">
        <v>166.26</v>
      </c>
      <c r="BP174" s="128">
        <v>166.26</v>
      </c>
      <c r="BQ174" s="128">
        <v>166.26</v>
      </c>
      <c r="BR174" s="128">
        <v>166.26</v>
      </c>
      <c r="BS174" s="128">
        <v>166.26</v>
      </c>
      <c r="BT174" s="128">
        <v>166.26</v>
      </c>
      <c r="BU174" s="128">
        <v>166.26</v>
      </c>
      <c r="BV174" s="128">
        <v>166.26</v>
      </c>
      <c r="BW174" s="129">
        <v>1995.12</v>
      </c>
      <c r="BX174" s="1"/>
      <c r="BY174" s="47"/>
      <c r="BZ174" s="47"/>
      <c r="CA174" s="47"/>
      <c r="CB174" s="47"/>
      <c r="CC174" s="47"/>
      <c r="CD174" s="47"/>
      <c r="CE174" s="47"/>
      <c r="CF174" s="47"/>
      <c r="CG174" s="47"/>
      <c r="CH174" s="47"/>
      <c r="CI174" s="47"/>
      <c r="CJ174" s="47"/>
      <c r="CK174" s="65"/>
      <c r="CL174" s="47"/>
      <c r="CM174" s="47"/>
      <c r="CN174" s="47"/>
      <c r="CO174" s="47"/>
      <c r="CP174" s="47"/>
      <c r="CQ174" s="47"/>
      <c r="CR174" s="47"/>
      <c r="CS174" s="47"/>
      <c r="CT174" s="47"/>
      <c r="CU174" s="47"/>
      <c r="CV174" s="47"/>
      <c r="CW174" s="47"/>
      <c r="CX174" s="47"/>
      <c r="CY174" s="65"/>
      <c r="CZ174" s="11"/>
      <c r="DA174" s="47">
        <f t="shared" si="981"/>
        <v>166.26</v>
      </c>
      <c r="DB174" s="47"/>
      <c r="DC174" s="47"/>
      <c r="DD174" s="47"/>
      <c r="DE174" s="47"/>
      <c r="DF174" s="47"/>
      <c r="DG174" s="47"/>
      <c r="DH174" s="47"/>
      <c r="DI174" s="47"/>
      <c r="DJ174" s="47"/>
      <c r="DK174" s="47"/>
      <c r="DL174" s="47"/>
      <c r="DM174" s="65">
        <f t="shared" si="982"/>
        <v>166.26</v>
      </c>
      <c r="DN174" s="1"/>
      <c r="DO174" s="130"/>
      <c r="DP174" s="130"/>
      <c r="DQ174" s="131"/>
    </row>
    <row r="175" outlineLevel="1">
      <c r="A175" s="15"/>
      <c r="B175" s="237" t="s">
        <v>165</v>
      </c>
      <c r="C175" s="51"/>
      <c r="D175" s="225">
        <f t="shared" si="951"/>
        <v>0</v>
      </c>
      <c r="E175" s="225">
        <f t="shared" si="952"/>
        <v>0</v>
      </c>
      <c r="F175" s="225">
        <f t="shared" si="953"/>
        <v>0</v>
      </c>
      <c r="G175" s="225">
        <f t="shared" si="954"/>
        <v>0</v>
      </c>
      <c r="H175" s="175"/>
      <c r="I175" s="176">
        <f t="shared" si="955"/>
        <v>0</v>
      </c>
      <c r="J175" s="177">
        <f t="shared" si="956"/>
        <v>0</v>
      </c>
      <c r="K175" s="176">
        <f t="shared" si="957"/>
        <v>0</v>
      </c>
      <c r="L175" s="177">
        <f t="shared" si="958"/>
        <v>0</v>
      </c>
      <c r="M175" s="176">
        <f t="shared" si="959"/>
        <v>0</v>
      </c>
      <c r="N175" s="177">
        <f t="shared" si="960"/>
        <v>0</v>
      </c>
      <c r="O175" s="175"/>
      <c r="P175" s="47">
        <f t="shared" si="961"/>
        <v>0</v>
      </c>
      <c r="Q175" s="225">
        <f t="shared" si="962"/>
        <v>0</v>
      </c>
      <c r="R175" s="225">
        <f t="shared" si="963"/>
        <v>0</v>
      </c>
      <c r="S175" s="48"/>
      <c r="T175" s="66">
        <f t="shared" si="964"/>
        <v>0</v>
      </c>
      <c r="U175" s="67">
        <f t="shared" si="965"/>
        <v>0</v>
      </c>
      <c r="V175" s="66">
        <f t="shared" si="966"/>
        <v>0</v>
      </c>
      <c r="W175" s="67">
        <f t="shared" si="967"/>
        <v>0</v>
      </c>
      <c r="X175" s="48"/>
      <c r="Y175" s="47">
        <f t="shared" si="968"/>
        <v>0</v>
      </c>
      <c r="Z175" s="47">
        <f t="shared" si="969"/>
        <v>0</v>
      </c>
      <c r="AA175" s="225">
        <f t="shared" si="970"/>
        <v>0</v>
      </c>
      <c r="AB175" s="95" t="str">
        <f t="shared" si="971"/>
        <v/>
      </c>
      <c r="AC175" s="48"/>
      <c r="AD175" s="66">
        <f t="shared" si="972"/>
        <v>0</v>
      </c>
      <c r="AE175" s="67">
        <f t="shared" si="973"/>
        <v>0</v>
      </c>
      <c r="AF175" s="66">
        <f t="shared" si="974"/>
        <v>0</v>
      </c>
      <c r="AG175" s="67">
        <f t="shared" si="975"/>
        <v>0</v>
      </c>
      <c r="AH175" s="71"/>
      <c r="AI175" s="47" t="str">
        <f t="shared" si="976"/>
        <v/>
      </c>
      <c r="AJ175" s="47" t="str">
        <f t="shared" ref="AJ175:AT175" si="989">IFERROR(IF(AJ$3="A",CN175,IF(AJ$3="F",DB175,IF(AJ$3="B",BL175,0))),"")</f>
        <v/>
      </c>
      <c r="AK175" s="47" t="str">
        <f t="shared" si="989"/>
        <v/>
      </c>
      <c r="AL175" s="47" t="str">
        <f t="shared" si="989"/>
        <v/>
      </c>
      <c r="AM175" s="47" t="str">
        <f t="shared" si="989"/>
        <v/>
      </c>
      <c r="AN175" s="47" t="str">
        <f t="shared" si="989"/>
        <v/>
      </c>
      <c r="AO175" s="47" t="str">
        <f t="shared" si="989"/>
        <v/>
      </c>
      <c r="AP175" s="47" t="str">
        <f t="shared" si="989"/>
        <v/>
      </c>
      <c r="AQ175" s="47" t="str">
        <f t="shared" si="989"/>
        <v/>
      </c>
      <c r="AR175" s="47" t="str">
        <f t="shared" si="989"/>
        <v/>
      </c>
      <c r="AS175" s="47" t="str">
        <f t="shared" si="989"/>
        <v/>
      </c>
      <c r="AT175" s="47" t="str">
        <f t="shared" si="989"/>
        <v/>
      </c>
      <c r="AU175" s="65">
        <f t="shared" si="978"/>
        <v>0</v>
      </c>
      <c r="AV175" s="55"/>
      <c r="AW175" s="47" t="str">
        <f t="shared" ref="AW175:BH175" si="990">IFERROR(IF(AW$3="A",CM175,IF(AW$3="B",BK175)),0)</f>
        <v/>
      </c>
      <c r="AX175" s="47" t="str">
        <f t="shared" si="990"/>
        <v/>
      </c>
      <c r="AY175" s="47" t="str">
        <f t="shared" si="990"/>
        <v/>
      </c>
      <c r="AZ175" s="47" t="str">
        <f t="shared" si="990"/>
        <v/>
      </c>
      <c r="BA175" s="47" t="str">
        <f t="shared" si="990"/>
        <v/>
      </c>
      <c r="BB175" s="47" t="str">
        <f t="shared" si="990"/>
        <v/>
      </c>
      <c r="BC175" s="47" t="str">
        <f t="shared" si="990"/>
        <v/>
      </c>
      <c r="BD175" s="47" t="str">
        <f t="shared" si="990"/>
        <v/>
      </c>
      <c r="BE175" s="47" t="str">
        <f t="shared" si="990"/>
        <v/>
      </c>
      <c r="BF175" s="47" t="str">
        <f t="shared" si="990"/>
        <v/>
      </c>
      <c r="BG175" s="47" t="str">
        <f t="shared" si="990"/>
        <v/>
      </c>
      <c r="BH175" s="47" t="str">
        <f t="shared" si="990"/>
        <v/>
      </c>
      <c r="BI175" s="65">
        <f t="shared" si="980"/>
        <v>0</v>
      </c>
      <c r="BJ175" s="71"/>
      <c r="BK175" s="47"/>
      <c r="BL175" s="47"/>
      <c r="BM175" s="47"/>
      <c r="BN175" s="47"/>
      <c r="BO175" s="47"/>
      <c r="BP175" s="47"/>
      <c r="BQ175" s="47"/>
      <c r="BR175" s="47"/>
      <c r="BS175" s="47"/>
      <c r="BT175" s="47"/>
      <c r="BU175" s="47"/>
      <c r="BV175" s="47"/>
      <c r="BW175" s="129">
        <v>0.0</v>
      </c>
      <c r="BX175" s="1"/>
      <c r="BY175" s="47"/>
      <c r="BZ175" s="47"/>
      <c r="CA175" s="47"/>
      <c r="CB175" s="47"/>
      <c r="CC175" s="47"/>
      <c r="CD175" s="47"/>
      <c r="CE175" s="47"/>
      <c r="CF175" s="47"/>
      <c r="CG175" s="47"/>
      <c r="CH175" s="47"/>
      <c r="CI175" s="47"/>
      <c r="CJ175" s="47"/>
      <c r="CK175" s="65"/>
      <c r="CL175" s="47"/>
      <c r="CM175" s="47"/>
      <c r="CN175" s="47"/>
      <c r="CO175" s="47"/>
      <c r="CP175" s="47"/>
      <c r="CQ175" s="47"/>
      <c r="CR175" s="47"/>
      <c r="CS175" s="47"/>
      <c r="CT175" s="47"/>
      <c r="CU175" s="47"/>
      <c r="CV175" s="47"/>
      <c r="CW175" s="47"/>
      <c r="CX175" s="47"/>
      <c r="CY175" s="65"/>
      <c r="CZ175" s="11"/>
      <c r="DA175" s="47" t="str">
        <f t="shared" si="981"/>
        <v/>
      </c>
      <c r="DB175" s="47"/>
      <c r="DC175" s="47"/>
      <c r="DD175" s="47"/>
      <c r="DE175" s="47"/>
      <c r="DF175" s="47"/>
      <c r="DG175" s="47"/>
      <c r="DH175" s="47"/>
      <c r="DI175" s="47"/>
      <c r="DJ175" s="47"/>
      <c r="DK175" s="47"/>
      <c r="DL175" s="47"/>
      <c r="DM175" s="65">
        <f t="shared" si="982"/>
        <v>0</v>
      </c>
      <c r="DN175" s="1"/>
      <c r="DO175" s="130"/>
      <c r="DP175" s="130"/>
      <c r="DQ175" s="131"/>
    </row>
    <row r="176" outlineLevel="1">
      <c r="A176" s="15"/>
      <c r="B176" s="227" t="s">
        <v>166</v>
      </c>
      <c r="C176" s="15"/>
      <c r="D176" s="225">
        <f t="shared" si="951"/>
        <v>0</v>
      </c>
      <c r="E176" s="225">
        <f t="shared" si="952"/>
        <v>0</v>
      </c>
      <c r="F176" s="225">
        <f t="shared" si="953"/>
        <v>665.183</v>
      </c>
      <c r="G176" s="225">
        <f t="shared" si="954"/>
        <v>0</v>
      </c>
      <c r="H176" s="175"/>
      <c r="I176" s="176">
        <f t="shared" si="955"/>
        <v>0</v>
      </c>
      <c r="J176" s="177">
        <f t="shared" si="956"/>
        <v>0</v>
      </c>
      <c r="K176" s="176">
        <f t="shared" si="957"/>
        <v>665.183</v>
      </c>
      <c r="L176" s="177">
        <f t="shared" si="958"/>
        <v>1</v>
      </c>
      <c r="M176" s="176">
        <f t="shared" si="959"/>
        <v>0</v>
      </c>
      <c r="N176" s="177">
        <f t="shared" si="960"/>
        <v>0</v>
      </c>
      <c r="O176" s="175"/>
      <c r="P176" s="225">
        <f t="shared" si="961"/>
        <v>0</v>
      </c>
      <c r="Q176" s="225">
        <f t="shared" si="962"/>
        <v>3991.098</v>
      </c>
      <c r="R176" s="225">
        <f t="shared" si="963"/>
        <v>0</v>
      </c>
      <c r="S176" s="48"/>
      <c r="T176" s="66">
        <f t="shared" si="964"/>
        <v>3991.098</v>
      </c>
      <c r="U176" s="67">
        <f t="shared" si="965"/>
        <v>1</v>
      </c>
      <c r="V176" s="66">
        <f t="shared" si="966"/>
        <v>0</v>
      </c>
      <c r="W176" s="67">
        <f t="shared" si="967"/>
        <v>0</v>
      </c>
      <c r="X176" s="48"/>
      <c r="Y176" s="47">
        <f t="shared" si="968"/>
        <v>1995.549</v>
      </c>
      <c r="Z176" s="47">
        <f t="shared" si="969"/>
        <v>3991.098</v>
      </c>
      <c r="AA176" s="225">
        <f t="shared" si="970"/>
        <v>7982.196</v>
      </c>
      <c r="AB176" s="95" t="str">
        <f t="shared" si="971"/>
        <v/>
      </c>
      <c r="AC176" s="17"/>
      <c r="AD176" s="66">
        <f t="shared" si="972"/>
        <v>5986.647</v>
      </c>
      <c r="AE176" s="67">
        <f t="shared" si="973"/>
        <v>0.75</v>
      </c>
      <c r="AF176" s="66">
        <f t="shared" si="974"/>
        <v>-1995.549</v>
      </c>
      <c r="AG176" s="67">
        <f t="shared" si="975"/>
        <v>0</v>
      </c>
      <c r="AH176" s="117"/>
      <c r="AI176" s="47" t="str">
        <f t="shared" si="976"/>
        <v/>
      </c>
      <c r="AJ176" s="47" t="str">
        <f t="shared" ref="AJ176:AT176" si="991">IFERROR(IF(AJ$3="A",CN176,IF(AJ$3="F",DB176,IF(AJ$3="B",BL176,0))),"")</f>
        <v/>
      </c>
      <c r="AK176" s="47" t="str">
        <f t="shared" si="991"/>
        <v/>
      </c>
      <c r="AL176" s="47" t="str">
        <f t="shared" si="991"/>
        <v/>
      </c>
      <c r="AM176" s="47" t="str">
        <f t="shared" si="991"/>
        <v/>
      </c>
      <c r="AN176" s="47" t="str">
        <f t="shared" si="991"/>
        <v/>
      </c>
      <c r="AO176" s="47" t="str">
        <f t="shared" si="991"/>
        <v/>
      </c>
      <c r="AP176" s="47" t="str">
        <f t="shared" si="991"/>
        <v/>
      </c>
      <c r="AQ176" s="47" t="str">
        <f t="shared" si="991"/>
        <v/>
      </c>
      <c r="AR176" s="47">
        <f t="shared" si="991"/>
        <v>665.183</v>
      </c>
      <c r="AS176" s="47">
        <f t="shared" si="991"/>
        <v>665.183</v>
      </c>
      <c r="AT176" s="47">
        <f t="shared" si="991"/>
        <v>665.183</v>
      </c>
      <c r="AU176" s="65">
        <f t="shared" si="978"/>
        <v>1995.549</v>
      </c>
      <c r="AV176" s="11"/>
      <c r="AW176" s="47" t="str">
        <f t="shared" ref="AW176:BH176" si="992">IFERROR(IF(AW$3="A",CM176,IF(AW$3="B",BK176)),0)</f>
        <v/>
      </c>
      <c r="AX176" s="47" t="str">
        <f t="shared" si="992"/>
        <v/>
      </c>
      <c r="AY176" s="47" t="str">
        <f t="shared" si="992"/>
        <v/>
      </c>
      <c r="AZ176" s="47" t="str">
        <f t="shared" si="992"/>
        <v/>
      </c>
      <c r="BA176" s="47" t="str">
        <f t="shared" si="992"/>
        <v/>
      </c>
      <c r="BB176" s="47" t="str">
        <f t="shared" si="992"/>
        <v/>
      </c>
      <c r="BC176" s="47">
        <f t="shared" si="992"/>
        <v>665.183</v>
      </c>
      <c r="BD176" s="47">
        <f t="shared" si="992"/>
        <v>665.183</v>
      </c>
      <c r="BE176" s="47">
        <f t="shared" si="992"/>
        <v>665.183</v>
      </c>
      <c r="BF176" s="47">
        <f t="shared" si="992"/>
        <v>665.183</v>
      </c>
      <c r="BG176" s="47">
        <f t="shared" si="992"/>
        <v>665.183</v>
      </c>
      <c r="BH176" s="47">
        <f t="shared" si="992"/>
        <v>665.183</v>
      </c>
      <c r="BI176" s="65">
        <f t="shared" si="980"/>
        <v>3991.098</v>
      </c>
      <c r="BJ176" s="117"/>
      <c r="BK176" s="128">
        <v>665.183</v>
      </c>
      <c r="BL176" s="128">
        <v>665.183</v>
      </c>
      <c r="BM176" s="128">
        <v>665.183</v>
      </c>
      <c r="BN176" s="128">
        <v>665.183</v>
      </c>
      <c r="BO176" s="128">
        <v>665.183</v>
      </c>
      <c r="BP176" s="128">
        <v>665.183</v>
      </c>
      <c r="BQ176" s="128">
        <v>665.183</v>
      </c>
      <c r="BR176" s="128">
        <v>665.183</v>
      </c>
      <c r="BS176" s="128">
        <v>665.183</v>
      </c>
      <c r="BT176" s="128">
        <v>665.183</v>
      </c>
      <c r="BU176" s="128">
        <v>665.183</v>
      </c>
      <c r="BV176" s="128">
        <v>665.183</v>
      </c>
      <c r="BW176" s="129">
        <v>7982.196</v>
      </c>
      <c r="BX176" s="1"/>
      <c r="BY176" s="47"/>
      <c r="BZ176" s="47"/>
      <c r="CA176" s="47"/>
      <c r="CB176" s="47"/>
      <c r="CC176" s="47"/>
      <c r="CD176" s="47"/>
      <c r="CE176" s="47"/>
      <c r="CF176" s="47"/>
      <c r="CG176" s="47"/>
      <c r="CH176" s="47"/>
      <c r="CI176" s="47"/>
      <c r="CJ176" s="47"/>
      <c r="CK176" s="65"/>
      <c r="CL176" s="47"/>
      <c r="CM176" s="47"/>
      <c r="CN176" s="47"/>
      <c r="CO176" s="47"/>
      <c r="CP176" s="47"/>
      <c r="CQ176" s="47"/>
      <c r="CR176" s="47"/>
      <c r="CS176" s="47"/>
      <c r="CT176" s="47"/>
      <c r="CU176" s="47"/>
      <c r="CV176" s="47"/>
      <c r="CW176" s="47"/>
      <c r="CX176" s="47"/>
      <c r="CY176" s="65"/>
      <c r="CZ176" s="11"/>
      <c r="DA176" s="47">
        <f t="shared" si="981"/>
        <v>665.183</v>
      </c>
      <c r="DB176" s="47"/>
      <c r="DC176" s="47"/>
      <c r="DD176" s="47"/>
      <c r="DE176" s="47"/>
      <c r="DF176" s="47"/>
      <c r="DG176" s="47"/>
      <c r="DH176" s="47"/>
      <c r="DI176" s="47"/>
      <c r="DJ176" s="47"/>
      <c r="DK176" s="47"/>
      <c r="DL176" s="47"/>
      <c r="DM176" s="65">
        <f t="shared" si="982"/>
        <v>665.183</v>
      </c>
      <c r="DN176" s="1"/>
      <c r="DO176" s="130"/>
      <c r="DP176" s="130"/>
      <c r="DQ176" s="131"/>
    </row>
    <row r="177" outlineLevel="1">
      <c r="A177" s="15"/>
      <c r="B177" s="1" t="s">
        <v>167</v>
      </c>
      <c r="C177" s="15"/>
      <c r="D177" s="225">
        <f t="shared" si="951"/>
        <v>0</v>
      </c>
      <c r="E177" s="225">
        <f t="shared" si="952"/>
        <v>0</v>
      </c>
      <c r="F177" s="225">
        <f t="shared" si="953"/>
        <v>2817.438</v>
      </c>
      <c r="G177" s="225">
        <f t="shared" si="954"/>
        <v>0</v>
      </c>
      <c r="H177" s="175"/>
      <c r="I177" s="176">
        <f t="shared" si="955"/>
        <v>0</v>
      </c>
      <c r="J177" s="177">
        <f t="shared" si="956"/>
        <v>0</v>
      </c>
      <c r="K177" s="176">
        <f t="shared" si="957"/>
        <v>2817.438</v>
      </c>
      <c r="L177" s="177">
        <f t="shared" si="958"/>
        <v>1</v>
      </c>
      <c r="M177" s="176">
        <f t="shared" si="959"/>
        <v>0</v>
      </c>
      <c r="N177" s="177">
        <f t="shared" si="960"/>
        <v>0</v>
      </c>
      <c r="O177" s="175"/>
      <c r="P177" s="225">
        <f t="shared" si="961"/>
        <v>0</v>
      </c>
      <c r="Q177" s="225">
        <f t="shared" si="962"/>
        <v>15178.221</v>
      </c>
      <c r="R177" s="225">
        <f t="shared" si="963"/>
        <v>0</v>
      </c>
      <c r="S177" s="48"/>
      <c r="T177" s="66">
        <f t="shared" si="964"/>
        <v>15178.221</v>
      </c>
      <c r="U177" s="67">
        <f t="shared" si="965"/>
        <v>1</v>
      </c>
      <c r="V177" s="66">
        <f t="shared" si="966"/>
        <v>0</v>
      </c>
      <c r="W177" s="67">
        <f t="shared" si="967"/>
        <v>0</v>
      </c>
      <c r="X177" s="48"/>
      <c r="Y177" s="47">
        <f t="shared" si="968"/>
        <v>8452.314</v>
      </c>
      <c r="Z177" s="47">
        <f t="shared" si="969"/>
        <v>16904.628</v>
      </c>
      <c r="AA177" s="225">
        <f t="shared" si="970"/>
        <v>32082.849</v>
      </c>
      <c r="AB177" s="95" t="str">
        <f t="shared" si="971"/>
        <v/>
      </c>
      <c r="AC177" s="17"/>
      <c r="AD177" s="66">
        <f t="shared" si="972"/>
        <v>23630.535</v>
      </c>
      <c r="AE177" s="67">
        <f t="shared" si="973"/>
        <v>0.7365472748</v>
      </c>
      <c r="AF177" s="66">
        <f t="shared" si="974"/>
        <v>-8452.314</v>
      </c>
      <c r="AG177" s="67">
        <f t="shared" si="975"/>
        <v>0</v>
      </c>
      <c r="AH177" s="117"/>
      <c r="AI177" s="47" t="str">
        <f t="shared" si="976"/>
        <v/>
      </c>
      <c r="AJ177" s="47" t="str">
        <f t="shared" ref="AJ177:AT177" si="993">IFERROR(IF(AJ$3="A",CN177,IF(AJ$3="F",DB177,IF(AJ$3="B",BL177,0))),"")</f>
        <v/>
      </c>
      <c r="AK177" s="47" t="str">
        <f t="shared" si="993"/>
        <v/>
      </c>
      <c r="AL177" s="47" t="str">
        <f t="shared" si="993"/>
        <v/>
      </c>
      <c r="AM177" s="47" t="str">
        <f t="shared" si="993"/>
        <v/>
      </c>
      <c r="AN177" s="47" t="str">
        <f t="shared" si="993"/>
        <v/>
      </c>
      <c r="AO177" s="47" t="str">
        <f t="shared" si="993"/>
        <v/>
      </c>
      <c r="AP177" s="47" t="str">
        <f t="shared" si="993"/>
        <v/>
      </c>
      <c r="AQ177" s="47" t="str">
        <f t="shared" si="993"/>
        <v/>
      </c>
      <c r="AR177" s="47">
        <f t="shared" si="993"/>
        <v>2817.438</v>
      </c>
      <c r="AS177" s="47">
        <f t="shared" si="993"/>
        <v>2817.438</v>
      </c>
      <c r="AT177" s="47">
        <f t="shared" si="993"/>
        <v>2817.438</v>
      </c>
      <c r="AU177" s="65">
        <f t="shared" si="978"/>
        <v>8452.314</v>
      </c>
      <c r="AV177" s="11"/>
      <c r="AW177" s="47" t="str">
        <f t="shared" ref="AW177:BH177" si="994">IFERROR(IF(AW$3="A",CM177,IF(AW$3="B",BK177)),0)</f>
        <v/>
      </c>
      <c r="AX177" s="47" t="str">
        <f t="shared" si="994"/>
        <v/>
      </c>
      <c r="AY177" s="47" t="str">
        <f t="shared" si="994"/>
        <v/>
      </c>
      <c r="AZ177" s="47" t="str">
        <f t="shared" si="994"/>
        <v/>
      </c>
      <c r="BA177" s="47" t="str">
        <f t="shared" si="994"/>
        <v/>
      </c>
      <c r="BB177" s="47" t="str">
        <f t="shared" si="994"/>
        <v/>
      </c>
      <c r="BC177" s="47">
        <f t="shared" si="994"/>
        <v>2817.438</v>
      </c>
      <c r="BD177" s="47">
        <f t="shared" si="994"/>
        <v>2817.438</v>
      </c>
      <c r="BE177" s="47">
        <f t="shared" si="994"/>
        <v>2817.438</v>
      </c>
      <c r="BF177" s="47">
        <f t="shared" si="994"/>
        <v>2817.438</v>
      </c>
      <c r="BG177" s="47">
        <f t="shared" si="994"/>
        <v>2817.438</v>
      </c>
      <c r="BH177" s="47">
        <f t="shared" si="994"/>
        <v>2817.438</v>
      </c>
      <c r="BI177" s="65">
        <f t="shared" si="980"/>
        <v>16904.628</v>
      </c>
      <c r="BJ177" s="117"/>
      <c r="BK177" s="128">
        <v>2241.969</v>
      </c>
      <c r="BL177" s="128">
        <v>2241.969</v>
      </c>
      <c r="BM177" s="128">
        <v>2241.969</v>
      </c>
      <c r="BN177" s="128">
        <v>2817.438</v>
      </c>
      <c r="BO177" s="128">
        <v>2817.438</v>
      </c>
      <c r="BP177" s="128">
        <v>2817.438</v>
      </c>
      <c r="BQ177" s="128">
        <v>2817.438</v>
      </c>
      <c r="BR177" s="128">
        <v>2817.438</v>
      </c>
      <c r="BS177" s="128">
        <v>2817.438</v>
      </c>
      <c r="BT177" s="128">
        <v>2817.438</v>
      </c>
      <c r="BU177" s="128">
        <v>2817.438</v>
      </c>
      <c r="BV177" s="128">
        <v>2817.438</v>
      </c>
      <c r="BW177" s="129">
        <v>32082.849</v>
      </c>
      <c r="BX177" s="1"/>
      <c r="BY177" s="47"/>
      <c r="BZ177" s="47"/>
      <c r="CA177" s="47"/>
      <c r="CB177" s="47"/>
      <c r="CC177" s="47"/>
      <c r="CD177" s="47"/>
      <c r="CE177" s="47"/>
      <c r="CF177" s="47"/>
      <c r="CG177" s="47"/>
      <c r="CH177" s="47"/>
      <c r="CI177" s="47"/>
      <c r="CJ177" s="47"/>
      <c r="CK177" s="65"/>
      <c r="CL177" s="47"/>
      <c r="CM177" s="47"/>
      <c r="CN177" s="47"/>
      <c r="CO177" s="47"/>
      <c r="CP177" s="47"/>
      <c r="CQ177" s="47"/>
      <c r="CR177" s="47"/>
      <c r="CS177" s="47"/>
      <c r="CT177" s="47"/>
      <c r="CU177" s="47"/>
      <c r="CV177" s="47"/>
      <c r="CW177" s="47"/>
      <c r="CX177" s="47"/>
      <c r="CY177" s="65"/>
      <c r="CZ177" s="11"/>
      <c r="DA177" s="47">
        <f t="shared" si="981"/>
        <v>2241.969</v>
      </c>
      <c r="DB177" s="47"/>
      <c r="DC177" s="47"/>
      <c r="DD177" s="47"/>
      <c r="DE177" s="47"/>
      <c r="DF177" s="47"/>
      <c r="DG177" s="47"/>
      <c r="DH177" s="47"/>
      <c r="DI177" s="47"/>
      <c r="DJ177" s="47"/>
      <c r="DK177" s="47"/>
      <c r="DL177" s="47"/>
      <c r="DM177" s="65">
        <f t="shared" si="982"/>
        <v>2241.969</v>
      </c>
      <c r="DN177" s="1"/>
      <c r="DO177" s="130"/>
      <c r="DP177" s="130"/>
      <c r="DQ177" s="131"/>
    </row>
    <row r="178" outlineLevel="1">
      <c r="A178" s="15"/>
      <c r="B178" s="1" t="s">
        <v>168</v>
      </c>
      <c r="C178" s="15"/>
      <c r="D178" s="225">
        <f t="shared" si="951"/>
        <v>0</v>
      </c>
      <c r="E178" s="225">
        <f t="shared" si="952"/>
        <v>0</v>
      </c>
      <c r="F178" s="225">
        <f t="shared" si="953"/>
        <v>241.5</v>
      </c>
      <c r="G178" s="225">
        <f t="shared" si="954"/>
        <v>0</v>
      </c>
      <c r="H178" s="175"/>
      <c r="I178" s="176">
        <f t="shared" si="955"/>
        <v>0</v>
      </c>
      <c r="J178" s="177">
        <f t="shared" si="956"/>
        <v>0</v>
      </c>
      <c r="K178" s="176">
        <f t="shared" si="957"/>
        <v>241.5</v>
      </c>
      <c r="L178" s="177">
        <f t="shared" si="958"/>
        <v>1</v>
      </c>
      <c r="M178" s="176">
        <f t="shared" si="959"/>
        <v>0</v>
      </c>
      <c r="N178" s="177">
        <f t="shared" si="960"/>
        <v>0</v>
      </c>
      <c r="O178" s="175"/>
      <c r="P178" s="225">
        <f t="shared" si="961"/>
        <v>0</v>
      </c>
      <c r="Q178" s="225">
        <f t="shared" si="962"/>
        <v>1132.436</v>
      </c>
      <c r="R178" s="225">
        <f t="shared" si="963"/>
        <v>0</v>
      </c>
      <c r="S178" s="48"/>
      <c r="T178" s="66">
        <f t="shared" si="964"/>
        <v>1132.436</v>
      </c>
      <c r="U178" s="67">
        <f t="shared" si="965"/>
        <v>1</v>
      </c>
      <c r="V178" s="66">
        <f t="shared" si="966"/>
        <v>0</v>
      </c>
      <c r="W178" s="67">
        <f t="shared" si="967"/>
        <v>0</v>
      </c>
      <c r="X178" s="48"/>
      <c r="Y178" s="47">
        <f t="shared" si="968"/>
        <v>595.35</v>
      </c>
      <c r="Z178" s="47">
        <f t="shared" si="969"/>
        <v>1178.625</v>
      </c>
      <c r="AA178" s="225">
        <f t="shared" si="970"/>
        <v>2311.061</v>
      </c>
      <c r="AB178" s="95" t="str">
        <f t="shared" si="971"/>
        <v/>
      </c>
      <c r="AC178" s="17"/>
      <c r="AD178" s="66">
        <f t="shared" si="972"/>
        <v>1715.711</v>
      </c>
      <c r="AE178" s="67">
        <f t="shared" si="973"/>
        <v>0.742391049</v>
      </c>
      <c r="AF178" s="66">
        <f t="shared" si="974"/>
        <v>-595.35</v>
      </c>
      <c r="AG178" s="67">
        <f t="shared" si="975"/>
        <v>0</v>
      </c>
      <c r="AH178" s="117"/>
      <c r="AI178" s="47" t="str">
        <f t="shared" si="976"/>
        <v/>
      </c>
      <c r="AJ178" s="47" t="str">
        <f t="shared" ref="AJ178:AT178" si="995">IFERROR(IF(AJ$3="A",CN178,IF(AJ$3="F",DB178,IF(AJ$3="B",BL178,0))),"")</f>
        <v/>
      </c>
      <c r="AK178" s="47" t="str">
        <f t="shared" si="995"/>
        <v/>
      </c>
      <c r="AL178" s="47" t="str">
        <f t="shared" si="995"/>
        <v/>
      </c>
      <c r="AM178" s="47" t="str">
        <f t="shared" si="995"/>
        <v/>
      </c>
      <c r="AN178" s="47" t="str">
        <f t="shared" si="995"/>
        <v/>
      </c>
      <c r="AO178" s="47" t="str">
        <f t="shared" si="995"/>
        <v/>
      </c>
      <c r="AP178" s="47" t="str">
        <f t="shared" si="995"/>
        <v/>
      </c>
      <c r="AQ178" s="47" t="str">
        <f t="shared" si="995"/>
        <v/>
      </c>
      <c r="AR178" s="47">
        <f t="shared" si="995"/>
        <v>198.45</v>
      </c>
      <c r="AS178" s="47">
        <f t="shared" si="995"/>
        <v>198.45</v>
      </c>
      <c r="AT178" s="47">
        <f t="shared" si="995"/>
        <v>198.45</v>
      </c>
      <c r="AU178" s="65">
        <f t="shared" si="978"/>
        <v>595.35</v>
      </c>
      <c r="AV178" s="11"/>
      <c r="AW178" s="47" t="str">
        <f t="shared" ref="AW178:BH178" si="996">IFERROR(IF(AW$3="A",CM178,IF(AW$3="B",BK178)),0)</f>
        <v/>
      </c>
      <c r="AX178" s="47" t="str">
        <f t="shared" si="996"/>
        <v/>
      </c>
      <c r="AY178" s="47" t="str">
        <f t="shared" si="996"/>
        <v/>
      </c>
      <c r="AZ178" s="47" t="str">
        <f t="shared" si="996"/>
        <v/>
      </c>
      <c r="BA178" s="47" t="str">
        <f t="shared" si="996"/>
        <v/>
      </c>
      <c r="BB178" s="47" t="str">
        <f t="shared" si="996"/>
        <v/>
      </c>
      <c r="BC178" s="47">
        <f t="shared" si="996"/>
        <v>244.125</v>
      </c>
      <c r="BD178" s="47">
        <f t="shared" si="996"/>
        <v>140.7</v>
      </c>
      <c r="BE178" s="47">
        <f t="shared" si="996"/>
        <v>198.45</v>
      </c>
      <c r="BF178" s="47">
        <f t="shared" si="996"/>
        <v>198.45</v>
      </c>
      <c r="BG178" s="47">
        <f t="shared" si="996"/>
        <v>198.45</v>
      </c>
      <c r="BH178" s="47">
        <f t="shared" si="996"/>
        <v>198.45</v>
      </c>
      <c r="BI178" s="65">
        <f t="shared" si="980"/>
        <v>1178.625</v>
      </c>
      <c r="BJ178" s="117"/>
      <c r="BK178" s="128">
        <v>177.45</v>
      </c>
      <c r="BL178" s="128">
        <v>145.95</v>
      </c>
      <c r="BM178" s="128">
        <v>260.4</v>
      </c>
      <c r="BN178" s="128">
        <v>109.2</v>
      </c>
      <c r="BO178" s="128">
        <v>197.936</v>
      </c>
      <c r="BP178" s="128">
        <v>241.5</v>
      </c>
      <c r="BQ178" s="128">
        <v>244.125</v>
      </c>
      <c r="BR178" s="128">
        <v>140.7</v>
      </c>
      <c r="BS178" s="128">
        <v>198.45</v>
      </c>
      <c r="BT178" s="128">
        <v>198.45</v>
      </c>
      <c r="BU178" s="128">
        <v>198.45</v>
      </c>
      <c r="BV178" s="128">
        <v>198.45</v>
      </c>
      <c r="BW178" s="129">
        <v>2311.061</v>
      </c>
      <c r="BX178" s="1"/>
      <c r="BY178" s="47"/>
      <c r="BZ178" s="47"/>
      <c r="CA178" s="47"/>
      <c r="CB178" s="47"/>
      <c r="CC178" s="47"/>
      <c r="CD178" s="47"/>
      <c r="CE178" s="47"/>
      <c r="CF178" s="47"/>
      <c r="CG178" s="47"/>
      <c r="CH178" s="47"/>
      <c r="CI178" s="47"/>
      <c r="CJ178" s="47"/>
      <c r="CK178" s="65"/>
      <c r="CL178" s="47"/>
      <c r="CM178" s="47"/>
      <c r="CN178" s="47"/>
      <c r="CO178" s="47"/>
      <c r="CP178" s="47"/>
      <c r="CQ178" s="47"/>
      <c r="CR178" s="47"/>
      <c r="CS178" s="47"/>
      <c r="CT178" s="47"/>
      <c r="CU178" s="47"/>
      <c r="CV178" s="47"/>
      <c r="CW178" s="47"/>
      <c r="CX178" s="47"/>
      <c r="CY178" s="65"/>
      <c r="CZ178" s="11"/>
      <c r="DA178" s="47">
        <f t="shared" si="981"/>
        <v>177.45</v>
      </c>
      <c r="DB178" s="47"/>
      <c r="DC178" s="47"/>
      <c r="DD178" s="47"/>
      <c r="DE178" s="47"/>
      <c r="DF178" s="47"/>
      <c r="DG178" s="47"/>
      <c r="DH178" s="47"/>
      <c r="DI178" s="47"/>
      <c r="DJ178" s="47"/>
      <c r="DK178" s="47"/>
      <c r="DL178" s="47"/>
      <c r="DM178" s="65">
        <f t="shared" si="982"/>
        <v>177.45</v>
      </c>
      <c r="DN178" s="1"/>
      <c r="DO178" s="130"/>
      <c r="DP178" s="130"/>
      <c r="DQ178" s="131"/>
    </row>
    <row r="179" outlineLevel="1">
      <c r="A179" s="15"/>
      <c r="B179" s="1" t="s">
        <v>169</v>
      </c>
      <c r="C179" s="15"/>
      <c r="D179" s="225">
        <f t="shared" si="951"/>
        <v>0</v>
      </c>
      <c r="E179" s="225">
        <f t="shared" si="952"/>
        <v>0</v>
      </c>
      <c r="F179" s="225">
        <f t="shared" si="953"/>
        <v>723.263</v>
      </c>
      <c r="G179" s="225">
        <f t="shared" si="954"/>
        <v>0</v>
      </c>
      <c r="H179" s="175"/>
      <c r="I179" s="176">
        <f t="shared" si="955"/>
        <v>0</v>
      </c>
      <c r="J179" s="177">
        <f t="shared" si="956"/>
        <v>0</v>
      </c>
      <c r="K179" s="176">
        <f t="shared" si="957"/>
        <v>723.263</v>
      </c>
      <c r="L179" s="177">
        <f t="shared" si="958"/>
        <v>1</v>
      </c>
      <c r="M179" s="176">
        <f t="shared" si="959"/>
        <v>0</v>
      </c>
      <c r="N179" s="177">
        <f t="shared" si="960"/>
        <v>0</v>
      </c>
      <c r="O179" s="175"/>
      <c r="P179" s="225">
        <f t="shared" si="961"/>
        <v>0</v>
      </c>
      <c r="Q179" s="225">
        <f t="shared" si="962"/>
        <v>4339.578</v>
      </c>
      <c r="R179" s="225">
        <f t="shared" si="963"/>
        <v>0</v>
      </c>
      <c r="S179" s="48"/>
      <c r="T179" s="66">
        <f t="shared" si="964"/>
        <v>4339.578</v>
      </c>
      <c r="U179" s="67">
        <f t="shared" si="965"/>
        <v>1</v>
      </c>
      <c r="V179" s="66">
        <f t="shared" si="966"/>
        <v>0</v>
      </c>
      <c r="W179" s="67">
        <f t="shared" si="967"/>
        <v>0</v>
      </c>
      <c r="X179" s="48"/>
      <c r="Y179" s="47">
        <f t="shared" si="968"/>
        <v>2169.789</v>
      </c>
      <c r="Z179" s="47">
        <f t="shared" si="969"/>
        <v>4339.578</v>
      </c>
      <c r="AA179" s="225">
        <f t="shared" si="970"/>
        <v>8679.156</v>
      </c>
      <c r="AB179" s="95" t="str">
        <f t="shared" si="971"/>
        <v/>
      </c>
      <c r="AC179" s="17"/>
      <c r="AD179" s="66">
        <f t="shared" si="972"/>
        <v>6509.367</v>
      </c>
      <c r="AE179" s="67">
        <f t="shared" si="973"/>
        <v>0.75</v>
      </c>
      <c r="AF179" s="66">
        <f t="shared" si="974"/>
        <v>-2169.789</v>
      </c>
      <c r="AG179" s="67">
        <f t="shared" si="975"/>
        <v>0</v>
      </c>
      <c r="AH179" s="117"/>
      <c r="AI179" s="47" t="str">
        <f t="shared" si="976"/>
        <v/>
      </c>
      <c r="AJ179" s="47" t="str">
        <f t="shared" ref="AJ179:AT179" si="997">IFERROR(IF(AJ$3="A",CN179,IF(AJ$3="F",DB179,IF(AJ$3="B",BL179,0))),"")</f>
        <v/>
      </c>
      <c r="AK179" s="47" t="str">
        <f t="shared" si="997"/>
        <v/>
      </c>
      <c r="AL179" s="47" t="str">
        <f t="shared" si="997"/>
        <v/>
      </c>
      <c r="AM179" s="47" t="str">
        <f t="shared" si="997"/>
        <v/>
      </c>
      <c r="AN179" s="47" t="str">
        <f t="shared" si="997"/>
        <v/>
      </c>
      <c r="AO179" s="47" t="str">
        <f t="shared" si="997"/>
        <v/>
      </c>
      <c r="AP179" s="47" t="str">
        <f t="shared" si="997"/>
        <v/>
      </c>
      <c r="AQ179" s="47" t="str">
        <f t="shared" si="997"/>
        <v/>
      </c>
      <c r="AR179" s="47">
        <f t="shared" si="997"/>
        <v>723.263</v>
      </c>
      <c r="AS179" s="47">
        <f t="shared" si="997"/>
        <v>723.263</v>
      </c>
      <c r="AT179" s="47">
        <f t="shared" si="997"/>
        <v>723.263</v>
      </c>
      <c r="AU179" s="65">
        <f t="shared" si="978"/>
        <v>2169.789</v>
      </c>
      <c r="AV179" s="11"/>
      <c r="AW179" s="47" t="str">
        <f t="shared" ref="AW179:BH179" si="998">IFERROR(IF(AW$3="A",CM179,IF(AW$3="B",BK179)),0)</f>
        <v/>
      </c>
      <c r="AX179" s="47" t="str">
        <f t="shared" si="998"/>
        <v/>
      </c>
      <c r="AY179" s="47" t="str">
        <f t="shared" si="998"/>
        <v/>
      </c>
      <c r="AZ179" s="47" t="str">
        <f t="shared" si="998"/>
        <v/>
      </c>
      <c r="BA179" s="47" t="str">
        <f t="shared" si="998"/>
        <v/>
      </c>
      <c r="BB179" s="47" t="str">
        <f t="shared" si="998"/>
        <v/>
      </c>
      <c r="BC179" s="47">
        <f t="shared" si="998"/>
        <v>723.263</v>
      </c>
      <c r="BD179" s="47">
        <f t="shared" si="998"/>
        <v>723.263</v>
      </c>
      <c r="BE179" s="47">
        <f t="shared" si="998"/>
        <v>723.263</v>
      </c>
      <c r="BF179" s="47">
        <f t="shared" si="998"/>
        <v>723.263</v>
      </c>
      <c r="BG179" s="47">
        <f t="shared" si="998"/>
        <v>723.263</v>
      </c>
      <c r="BH179" s="47">
        <f t="shared" si="998"/>
        <v>723.263</v>
      </c>
      <c r="BI179" s="65">
        <f t="shared" si="980"/>
        <v>4339.578</v>
      </c>
      <c r="BJ179" s="117"/>
      <c r="BK179" s="128">
        <v>723.263</v>
      </c>
      <c r="BL179" s="128">
        <v>723.263</v>
      </c>
      <c r="BM179" s="128">
        <v>723.263</v>
      </c>
      <c r="BN179" s="128">
        <v>723.263</v>
      </c>
      <c r="BO179" s="128">
        <v>723.263</v>
      </c>
      <c r="BP179" s="128">
        <v>723.263</v>
      </c>
      <c r="BQ179" s="128">
        <v>723.263</v>
      </c>
      <c r="BR179" s="128">
        <v>723.263</v>
      </c>
      <c r="BS179" s="128">
        <v>723.263</v>
      </c>
      <c r="BT179" s="128">
        <v>723.263</v>
      </c>
      <c r="BU179" s="128">
        <v>723.263</v>
      </c>
      <c r="BV179" s="128">
        <v>723.263</v>
      </c>
      <c r="BW179" s="129">
        <v>8679.156</v>
      </c>
      <c r="BX179" s="1"/>
      <c r="BY179" s="47"/>
      <c r="BZ179" s="47"/>
      <c r="CA179" s="47"/>
      <c r="CB179" s="47"/>
      <c r="CC179" s="47"/>
      <c r="CD179" s="47"/>
      <c r="CE179" s="47"/>
      <c r="CF179" s="47"/>
      <c r="CG179" s="47"/>
      <c r="CH179" s="47"/>
      <c r="CI179" s="47"/>
      <c r="CJ179" s="47"/>
      <c r="CK179" s="65"/>
      <c r="CL179" s="47"/>
      <c r="CM179" s="47"/>
      <c r="CN179" s="47"/>
      <c r="CO179" s="47"/>
      <c r="CP179" s="47"/>
      <c r="CQ179" s="47"/>
      <c r="CR179" s="47"/>
      <c r="CS179" s="47"/>
      <c r="CT179" s="47"/>
      <c r="CU179" s="47"/>
      <c r="CV179" s="47"/>
      <c r="CW179" s="47"/>
      <c r="CX179" s="47"/>
      <c r="CY179" s="65"/>
      <c r="CZ179" s="11"/>
      <c r="DA179" s="47">
        <f t="shared" si="981"/>
        <v>723.263</v>
      </c>
      <c r="DB179" s="47"/>
      <c r="DC179" s="47"/>
      <c r="DD179" s="47"/>
      <c r="DE179" s="47"/>
      <c r="DF179" s="47"/>
      <c r="DG179" s="47"/>
      <c r="DH179" s="47"/>
      <c r="DI179" s="47"/>
      <c r="DJ179" s="47"/>
      <c r="DK179" s="47"/>
      <c r="DL179" s="47"/>
      <c r="DM179" s="65">
        <f t="shared" si="982"/>
        <v>723.263</v>
      </c>
      <c r="DN179" s="1"/>
      <c r="DO179" s="130"/>
      <c r="DP179" s="130"/>
      <c r="DQ179" s="186"/>
    </row>
    <row r="180" outlineLevel="1">
      <c r="A180" s="15"/>
      <c r="B180" s="1" t="s">
        <v>170</v>
      </c>
      <c r="C180" s="15"/>
      <c r="D180" s="225">
        <f t="shared" si="951"/>
        <v>0</v>
      </c>
      <c r="E180" s="225">
        <f t="shared" si="952"/>
        <v>0</v>
      </c>
      <c r="F180" s="225">
        <f t="shared" si="953"/>
        <v>1277.134</v>
      </c>
      <c r="G180" s="225">
        <f t="shared" si="954"/>
        <v>0</v>
      </c>
      <c r="H180" s="175"/>
      <c r="I180" s="176">
        <f t="shared" si="955"/>
        <v>0</v>
      </c>
      <c r="J180" s="177">
        <f t="shared" si="956"/>
        <v>0</v>
      </c>
      <c r="K180" s="176">
        <f t="shared" si="957"/>
        <v>1277.134</v>
      </c>
      <c r="L180" s="177">
        <f t="shared" si="958"/>
        <v>1</v>
      </c>
      <c r="M180" s="176">
        <f t="shared" si="959"/>
        <v>0</v>
      </c>
      <c r="N180" s="177">
        <f t="shared" si="960"/>
        <v>0</v>
      </c>
      <c r="O180" s="175"/>
      <c r="P180" s="225">
        <f t="shared" si="961"/>
        <v>0</v>
      </c>
      <c r="Q180" s="225">
        <f t="shared" si="962"/>
        <v>6036.227</v>
      </c>
      <c r="R180" s="225">
        <f t="shared" si="963"/>
        <v>0</v>
      </c>
      <c r="S180" s="48"/>
      <c r="T180" s="66">
        <f t="shared" si="964"/>
        <v>6036.227</v>
      </c>
      <c r="U180" s="67">
        <f t="shared" si="965"/>
        <v>1</v>
      </c>
      <c r="V180" s="66">
        <f t="shared" si="966"/>
        <v>0</v>
      </c>
      <c r="W180" s="67">
        <f t="shared" si="967"/>
        <v>0</v>
      </c>
      <c r="X180" s="48"/>
      <c r="Y180" s="47">
        <f t="shared" si="968"/>
        <v>4598.907</v>
      </c>
      <c r="Z180" s="47">
        <f t="shared" si="969"/>
        <v>12387.236</v>
      </c>
      <c r="AA180" s="225">
        <f t="shared" si="970"/>
        <v>18423.463</v>
      </c>
      <c r="AB180" s="95" t="str">
        <f t="shared" si="971"/>
        <v/>
      </c>
      <c r="AC180" s="17"/>
      <c r="AD180" s="66">
        <f t="shared" si="972"/>
        <v>13824.556</v>
      </c>
      <c r="AE180" s="67">
        <f t="shared" si="973"/>
        <v>0.7503777113</v>
      </c>
      <c r="AF180" s="66">
        <f t="shared" si="974"/>
        <v>-4598.907</v>
      </c>
      <c r="AG180" s="67">
        <f t="shared" si="975"/>
        <v>0</v>
      </c>
      <c r="AH180" s="117"/>
      <c r="AI180" s="47" t="str">
        <f t="shared" si="976"/>
        <v/>
      </c>
      <c r="AJ180" s="47" t="str">
        <f t="shared" ref="AJ180:AT180" si="999">IFERROR(IF(AJ$3="A",CN180,IF(AJ$3="F",DB180,IF(AJ$3="B",BL180,0))),"")</f>
        <v/>
      </c>
      <c r="AK180" s="47" t="str">
        <f t="shared" si="999"/>
        <v/>
      </c>
      <c r="AL180" s="47" t="str">
        <f t="shared" si="999"/>
        <v/>
      </c>
      <c r="AM180" s="47" t="str">
        <f t="shared" si="999"/>
        <v/>
      </c>
      <c r="AN180" s="47" t="str">
        <f t="shared" si="999"/>
        <v/>
      </c>
      <c r="AO180" s="47" t="str">
        <f t="shared" si="999"/>
        <v/>
      </c>
      <c r="AP180" s="47" t="str">
        <f t="shared" si="999"/>
        <v/>
      </c>
      <c r="AQ180" s="47" t="str">
        <f t="shared" si="999"/>
        <v/>
      </c>
      <c r="AR180" s="47">
        <f t="shared" si="999"/>
        <v>2405.583</v>
      </c>
      <c r="AS180" s="47">
        <f t="shared" si="999"/>
        <v>951.131</v>
      </c>
      <c r="AT180" s="47">
        <f t="shared" si="999"/>
        <v>1242.193</v>
      </c>
      <c r="AU180" s="65">
        <f t="shared" si="978"/>
        <v>4598.907</v>
      </c>
      <c r="AV180" s="11"/>
      <c r="AW180" s="47" t="str">
        <f t="shared" ref="AW180:BH180" si="1000">IFERROR(IF(AW$3="A",CM180,IF(AW$3="B",BK180)),0)</f>
        <v/>
      </c>
      <c r="AX180" s="47" t="str">
        <f t="shared" si="1000"/>
        <v/>
      </c>
      <c r="AY180" s="47" t="str">
        <f t="shared" si="1000"/>
        <v/>
      </c>
      <c r="AZ180" s="47" t="str">
        <f t="shared" si="1000"/>
        <v/>
      </c>
      <c r="BA180" s="47" t="str">
        <f t="shared" si="1000"/>
        <v/>
      </c>
      <c r="BB180" s="47" t="str">
        <f t="shared" si="1000"/>
        <v/>
      </c>
      <c r="BC180" s="47">
        <f t="shared" si="1000"/>
        <v>2694.437</v>
      </c>
      <c r="BD180" s="47">
        <f t="shared" si="1000"/>
        <v>2746.132</v>
      </c>
      <c r="BE180" s="47">
        <f t="shared" si="1000"/>
        <v>2347.76</v>
      </c>
      <c r="BF180" s="47">
        <f t="shared" si="1000"/>
        <v>2405.583</v>
      </c>
      <c r="BG180" s="47">
        <f t="shared" si="1000"/>
        <v>951.131</v>
      </c>
      <c r="BH180" s="47">
        <f t="shared" si="1000"/>
        <v>1242.193</v>
      </c>
      <c r="BI180" s="65">
        <f t="shared" si="980"/>
        <v>12387.236</v>
      </c>
      <c r="BJ180" s="117"/>
      <c r="BK180" s="128">
        <v>1306.586</v>
      </c>
      <c r="BL180" s="128">
        <v>1224.793</v>
      </c>
      <c r="BM180" s="128">
        <v>794.454</v>
      </c>
      <c r="BN180" s="128">
        <v>625.155</v>
      </c>
      <c r="BO180" s="128">
        <v>808.105</v>
      </c>
      <c r="BP180" s="128">
        <v>1277.134</v>
      </c>
      <c r="BQ180" s="128">
        <v>2694.437</v>
      </c>
      <c r="BR180" s="128">
        <v>2746.132</v>
      </c>
      <c r="BS180" s="128">
        <v>2347.76</v>
      </c>
      <c r="BT180" s="128">
        <v>2405.583</v>
      </c>
      <c r="BU180" s="128">
        <v>951.131</v>
      </c>
      <c r="BV180" s="128">
        <v>1242.193</v>
      </c>
      <c r="BW180" s="129">
        <v>18423.463</v>
      </c>
      <c r="BX180" s="1"/>
      <c r="BY180" s="47"/>
      <c r="BZ180" s="47"/>
      <c r="CA180" s="47"/>
      <c r="CB180" s="47"/>
      <c r="CC180" s="47"/>
      <c r="CD180" s="47"/>
      <c r="CE180" s="47"/>
      <c r="CF180" s="47"/>
      <c r="CG180" s="47"/>
      <c r="CH180" s="47"/>
      <c r="CI180" s="47"/>
      <c r="CJ180" s="47"/>
      <c r="CK180" s="65"/>
      <c r="CL180" s="47"/>
      <c r="CM180" s="47"/>
      <c r="CN180" s="47"/>
      <c r="CO180" s="47"/>
      <c r="CP180" s="47"/>
      <c r="CQ180" s="47"/>
      <c r="CR180" s="47"/>
      <c r="CS180" s="47"/>
      <c r="CT180" s="47"/>
      <c r="CU180" s="47"/>
      <c r="CV180" s="47"/>
      <c r="CW180" s="47"/>
      <c r="CX180" s="47"/>
      <c r="CY180" s="65"/>
      <c r="CZ180" s="11"/>
      <c r="DA180" s="47">
        <f t="shared" si="981"/>
        <v>1306.586</v>
      </c>
      <c r="DB180" s="47"/>
      <c r="DC180" s="47"/>
      <c r="DD180" s="47"/>
      <c r="DE180" s="47"/>
      <c r="DF180" s="47"/>
      <c r="DG180" s="47"/>
      <c r="DH180" s="47"/>
      <c r="DI180" s="47"/>
      <c r="DJ180" s="47"/>
      <c r="DK180" s="47"/>
      <c r="DL180" s="47"/>
      <c r="DM180" s="65">
        <f t="shared" si="982"/>
        <v>1306.586</v>
      </c>
      <c r="DN180" s="1"/>
      <c r="DO180" s="130"/>
      <c r="DP180" s="130"/>
      <c r="DQ180" s="131"/>
    </row>
    <row r="181" outlineLevel="1">
      <c r="A181" s="15"/>
      <c r="B181" s="1" t="s">
        <v>171</v>
      </c>
      <c r="C181" s="15"/>
      <c r="D181" s="225">
        <f t="shared" si="951"/>
        <v>0</v>
      </c>
      <c r="E181" s="225">
        <f t="shared" si="952"/>
        <v>0</v>
      </c>
      <c r="F181" s="225">
        <f t="shared" si="953"/>
        <v>0</v>
      </c>
      <c r="G181" s="225">
        <f t="shared" si="954"/>
        <v>0</v>
      </c>
      <c r="H181" s="175"/>
      <c r="I181" s="176">
        <f t="shared" si="955"/>
        <v>0</v>
      </c>
      <c r="J181" s="177">
        <f t="shared" si="956"/>
        <v>0</v>
      </c>
      <c r="K181" s="176">
        <f t="shared" si="957"/>
        <v>0</v>
      </c>
      <c r="L181" s="177">
        <f t="shared" si="958"/>
        <v>0</v>
      </c>
      <c r="M181" s="176">
        <f t="shared" si="959"/>
        <v>0</v>
      </c>
      <c r="N181" s="177">
        <f t="shared" si="960"/>
        <v>0</v>
      </c>
      <c r="O181" s="175"/>
      <c r="P181" s="225">
        <f t="shared" si="961"/>
        <v>0</v>
      </c>
      <c r="Q181" s="225">
        <f t="shared" si="962"/>
        <v>0</v>
      </c>
      <c r="R181" s="225">
        <f t="shared" si="963"/>
        <v>0</v>
      </c>
      <c r="S181" s="48"/>
      <c r="T181" s="66">
        <f t="shared" si="964"/>
        <v>0</v>
      </c>
      <c r="U181" s="67">
        <f t="shared" si="965"/>
        <v>0</v>
      </c>
      <c r="V181" s="66">
        <f t="shared" si="966"/>
        <v>0</v>
      </c>
      <c r="W181" s="67">
        <f t="shared" si="967"/>
        <v>0</v>
      </c>
      <c r="X181" s="48"/>
      <c r="Y181" s="47">
        <f t="shared" si="968"/>
        <v>0</v>
      </c>
      <c r="Z181" s="47">
        <f t="shared" si="969"/>
        <v>0</v>
      </c>
      <c r="AA181" s="225">
        <f t="shared" si="970"/>
        <v>0</v>
      </c>
      <c r="AB181" s="95" t="str">
        <f t="shared" si="971"/>
        <v/>
      </c>
      <c r="AC181" s="17"/>
      <c r="AD181" s="66">
        <f t="shared" si="972"/>
        <v>0</v>
      </c>
      <c r="AE181" s="67">
        <f t="shared" si="973"/>
        <v>0</v>
      </c>
      <c r="AF181" s="66">
        <f t="shared" si="974"/>
        <v>0</v>
      </c>
      <c r="AG181" s="67">
        <f t="shared" si="975"/>
        <v>0</v>
      </c>
      <c r="AH181" s="117"/>
      <c r="AI181" s="47" t="str">
        <f t="shared" si="976"/>
        <v/>
      </c>
      <c r="AJ181" s="47" t="str">
        <f t="shared" ref="AJ181:AT181" si="1001">IFERROR(IF(AJ$3="A",CN181,IF(AJ$3="F",DB181,IF(AJ$3="B",BL181,0))),"")</f>
        <v/>
      </c>
      <c r="AK181" s="47" t="str">
        <f t="shared" si="1001"/>
        <v/>
      </c>
      <c r="AL181" s="47" t="str">
        <f t="shared" si="1001"/>
        <v/>
      </c>
      <c r="AM181" s="47" t="str">
        <f t="shared" si="1001"/>
        <v/>
      </c>
      <c r="AN181" s="47" t="str">
        <f t="shared" si="1001"/>
        <v/>
      </c>
      <c r="AO181" s="47" t="str">
        <f t="shared" si="1001"/>
        <v/>
      </c>
      <c r="AP181" s="47" t="str">
        <f t="shared" si="1001"/>
        <v/>
      </c>
      <c r="AQ181" s="47" t="str">
        <f t="shared" si="1001"/>
        <v/>
      </c>
      <c r="AR181" s="47">
        <f t="shared" si="1001"/>
        <v>0</v>
      </c>
      <c r="AS181" s="47">
        <f t="shared" si="1001"/>
        <v>0</v>
      </c>
      <c r="AT181" s="47">
        <f t="shared" si="1001"/>
        <v>0</v>
      </c>
      <c r="AU181" s="65">
        <f t="shared" si="978"/>
        <v>0</v>
      </c>
      <c r="AV181" s="11"/>
      <c r="AW181" s="47" t="str">
        <f t="shared" ref="AW181:BH181" si="1002">IFERROR(IF(AW$3="A",CM181,IF(AW$3="B",BK181)),0)</f>
        <v/>
      </c>
      <c r="AX181" s="47" t="str">
        <f t="shared" si="1002"/>
        <v/>
      </c>
      <c r="AY181" s="47" t="str">
        <f t="shared" si="1002"/>
        <v/>
      </c>
      <c r="AZ181" s="47" t="str">
        <f t="shared" si="1002"/>
        <v/>
      </c>
      <c r="BA181" s="47" t="str">
        <f t="shared" si="1002"/>
        <v/>
      </c>
      <c r="BB181" s="47" t="str">
        <f t="shared" si="1002"/>
        <v/>
      </c>
      <c r="BC181" s="47">
        <f t="shared" si="1002"/>
        <v>0</v>
      </c>
      <c r="BD181" s="47">
        <f t="shared" si="1002"/>
        <v>0</v>
      </c>
      <c r="BE181" s="47">
        <f t="shared" si="1002"/>
        <v>0</v>
      </c>
      <c r="BF181" s="47">
        <f t="shared" si="1002"/>
        <v>0</v>
      </c>
      <c r="BG181" s="47">
        <f t="shared" si="1002"/>
        <v>0</v>
      </c>
      <c r="BH181" s="47">
        <f t="shared" si="1002"/>
        <v>0</v>
      </c>
      <c r="BI181" s="65">
        <f t="shared" si="980"/>
        <v>0</v>
      </c>
      <c r="BJ181" s="117"/>
      <c r="BK181" s="128">
        <v>0.0</v>
      </c>
      <c r="BL181" s="128">
        <v>0.0</v>
      </c>
      <c r="BM181" s="128">
        <v>0.0</v>
      </c>
      <c r="BN181" s="128">
        <v>0.0</v>
      </c>
      <c r="BO181" s="128">
        <v>0.0</v>
      </c>
      <c r="BP181" s="128">
        <v>0.0</v>
      </c>
      <c r="BQ181" s="128">
        <v>0.0</v>
      </c>
      <c r="BR181" s="128">
        <v>0.0</v>
      </c>
      <c r="BS181" s="128">
        <v>0.0</v>
      </c>
      <c r="BT181" s="128">
        <v>0.0</v>
      </c>
      <c r="BU181" s="128">
        <v>0.0</v>
      </c>
      <c r="BV181" s="128">
        <v>0.0</v>
      </c>
      <c r="BW181" s="129">
        <v>0.0</v>
      </c>
      <c r="BX181" s="1"/>
      <c r="BY181" s="47"/>
      <c r="BZ181" s="47"/>
      <c r="CA181" s="47"/>
      <c r="CB181" s="47"/>
      <c r="CC181" s="47"/>
      <c r="CD181" s="47"/>
      <c r="CE181" s="47"/>
      <c r="CF181" s="47"/>
      <c r="CG181" s="47"/>
      <c r="CH181" s="47"/>
      <c r="CI181" s="47"/>
      <c r="CJ181" s="47"/>
      <c r="CK181" s="65"/>
      <c r="CL181" s="47"/>
      <c r="CM181" s="47"/>
      <c r="CN181" s="47"/>
      <c r="CO181" s="47"/>
      <c r="CP181" s="47"/>
      <c r="CQ181" s="47"/>
      <c r="CR181" s="47"/>
      <c r="CS181" s="47"/>
      <c r="CT181" s="47"/>
      <c r="CU181" s="47"/>
      <c r="CV181" s="47"/>
      <c r="CW181" s="47"/>
      <c r="CX181" s="47"/>
      <c r="CY181" s="65"/>
      <c r="CZ181" s="11"/>
      <c r="DA181" s="47">
        <f t="shared" si="981"/>
        <v>0</v>
      </c>
      <c r="DB181" s="47"/>
      <c r="DC181" s="47"/>
      <c r="DD181" s="47"/>
      <c r="DE181" s="47"/>
      <c r="DF181" s="47"/>
      <c r="DG181" s="47"/>
      <c r="DH181" s="47"/>
      <c r="DI181" s="47"/>
      <c r="DJ181" s="47"/>
      <c r="DK181" s="47"/>
      <c r="DL181" s="47"/>
      <c r="DM181" s="65">
        <f t="shared" si="982"/>
        <v>0</v>
      </c>
      <c r="DN181" s="1"/>
      <c r="DO181" s="130"/>
      <c r="DP181" s="130"/>
      <c r="DQ181" s="131"/>
    </row>
    <row r="182" outlineLevel="1">
      <c r="A182" s="15"/>
      <c r="B182" s="238" t="s">
        <v>172</v>
      </c>
      <c r="C182" s="15"/>
      <c r="D182" s="225">
        <f t="shared" si="951"/>
        <v>0</v>
      </c>
      <c r="E182" s="225">
        <f t="shared" si="952"/>
        <v>0</v>
      </c>
      <c r="F182" s="225">
        <f t="shared" si="953"/>
        <v>0</v>
      </c>
      <c r="G182" s="225">
        <f t="shared" si="954"/>
        <v>0</v>
      </c>
      <c r="H182" s="175"/>
      <c r="I182" s="176">
        <f t="shared" si="955"/>
        <v>0</v>
      </c>
      <c r="J182" s="177">
        <f t="shared" si="956"/>
        <v>0</v>
      </c>
      <c r="K182" s="176">
        <f t="shared" si="957"/>
        <v>0</v>
      </c>
      <c r="L182" s="177">
        <f t="shared" si="958"/>
        <v>0</v>
      </c>
      <c r="M182" s="176">
        <f t="shared" si="959"/>
        <v>0</v>
      </c>
      <c r="N182" s="177">
        <f t="shared" si="960"/>
        <v>0</v>
      </c>
      <c r="O182" s="175"/>
      <c r="P182" s="225">
        <f t="shared" si="961"/>
        <v>0</v>
      </c>
      <c r="Q182" s="225">
        <f t="shared" si="962"/>
        <v>0</v>
      </c>
      <c r="R182" s="47">
        <f t="shared" si="963"/>
        <v>0</v>
      </c>
      <c r="S182" s="48"/>
      <c r="T182" s="66">
        <f t="shared" si="964"/>
        <v>0</v>
      </c>
      <c r="U182" s="67">
        <f t="shared" si="965"/>
        <v>0</v>
      </c>
      <c r="V182" s="66">
        <f t="shared" si="966"/>
        <v>0</v>
      </c>
      <c r="W182" s="67">
        <f t="shared" si="967"/>
        <v>0</v>
      </c>
      <c r="X182" s="48"/>
      <c r="Y182" s="47">
        <f t="shared" si="968"/>
        <v>0</v>
      </c>
      <c r="Z182" s="47">
        <f t="shared" si="969"/>
        <v>0</v>
      </c>
      <c r="AA182" s="47">
        <f t="shared" si="970"/>
        <v>0</v>
      </c>
      <c r="AB182" s="95" t="str">
        <f t="shared" si="971"/>
        <v/>
      </c>
      <c r="AC182" s="17"/>
      <c r="AD182" s="66">
        <f t="shared" si="972"/>
        <v>0</v>
      </c>
      <c r="AE182" s="67">
        <f t="shared" si="973"/>
        <v>0</v>
      </c>
      <c r="AF182" s="66">
        <f t="shared" si="974"/>
        <v>0</v>
      </c>
      <c r="AG182" s="67">
        <f t="shared" si="975"/>
        <v>0</v>
      </c>
      <c r="AH182" s="117"/>
      <c r="AI182" s="47" t="str">
        <f t="shared" si="976"/>
        <v/>
      </c>
      <c r="AJ182" s="47" t="str">
        <f t="shared" ref="AJ182:AT182" si="1003">IFERROR(IF(AJ$3="A",CN182,IF(AJ$3="F",DB182,IF(AJ$3="B",BL182,0))),"")</f>
        <v/>
      </c>
      <c r="AK182" s="47" t="str">
        <f t="shared" si="1003"/>
        <v/>
      </c>
      <c r="AL182" s="47" t="str">
        <f t="shared" si="1003"/>
        <v/>
      </c>
      <c r="AM182" s="47" t="str">
        <f t="shared" si="1003"/>
        <v/>
      </c>
      <c r="AN182" s="47" t="str">
        <f t="shared" si="1003"/>
        <v/>
      </c>
      <c r="AO182" s="47" t="str">
        <f t="shared" si="1003"/>
        <v/>
      </c>
      <c r="AP182" s="47" t="str">
        <f t="shared" si="1003"/>
        <v/>
      </c>
      <c r="AQ182" s="47" t="str">
        <f t="shared" si="1003"/>
        <v/>
      </c>
      <c r="AR182" s="47">
        <f t="shared" si="1003"/>
        <v>0</v>
      </c>
      <c r="AS182" s="47">
        <f t="shared" si="1003"/>
        <v>0</v>
      </c>
      <c r="AT182" s="47">
        <f t="shared" si="1003"/>
        <v>0</v>
      </c>
      <c r="AU182" s="65">
        <f t="shared" si="978"/>
        <v>0</v>
      </c>
      <c r="AV182" s="11"/>
      <c r="AW182" s="47" t="str">
        <f t="shared" ref="AW182:BH182" si="1004">IFERROR(IF(AW$3="A",CM182,IF(AW$3="B",BK182)),0)</f>
        <v/>
      </c>
      <c r="AX182" s="47" t="str">
        <f t="shared" si="1004"/>
        <v/>
      </c>
      <c r="AY182" s="47" t="str">
        <f t="shared" si="1004"/>
        <v/>
      </c>
      <c r="AZ182" s="47" t="str">
        <f t="shared" si="1004"/>
        <v/>
      </c>
      <c r="BA182" s="47" t="str">
        <f t="shared" si="1004"/>
        <v/>
      </c>
      <c r="BB182" s="47" t="str">
        <f t="shared" si="1004"/>
        <v/>
      </c>
      <c r="BC182" s="47">
        <f t="shared" si="1004"/>
        <v>0</v>
      </c>
      <c r="BD182" s="47">
        <f t="shared" si="1004"/>
        <v>0</v>
      </c>
      <c r="BE182" s="47">
        <f t="shared" si="1004"/>
        <v>0</v>
      </c>
      <c r="BF182" s="47">
        <f t="shared" si="1004"/>
        <v>0</v>
      </c>
      <c r="BG182" s="47">
        <f t="shared" si="1004"/>
        <v>0</v>
      </c>
      <c r="BH182" s="47">
        <f t="shared" si="1004"/>
        <v>0</v>
      </c>
      <c r="BI182" s="65">
        <f t="shared" si="980"/>
        <v>0</v>
      </c>
      <c r="BJ182" s="117"/>
      <c r="BK182" s="128">
        <v>0.0</v>
      </c>
      <c r="BL182" s="128">
        <v>0.0</v>
      </c>
      <c r="BM182" s="128">
        <v>0.0</v>
      </c>
      <c r="BN182" s="128">
        <v>0.0</v>
      </c>
      <c r="BO182" s="128">
        <v>0.0</v>
      </c>
      <c r="BP182" s="128">
        <v>0.0</v>
      </c>
      <c r="BQ182" s="128">
        <v>0.0</v>
      </c>
      <c r="BR182" s="128">
        <v>0.0</v>
      </c>
      <c r="BS182" s="128">
        <v>0.0</v>
      </c>
      <c r="BT182" s="128">
        <v>0.0</v>
      </c>
      <c r="BU182" s="128">
        <v>0.0</v>
      </c>
      <c r="BV182" s="128">
        <v>0.0</v>
      </c>
      <c r="BW182" s="129">
        <v>0.0</v>
      </c>
      <c r="BX182" s="1"/>
      <c r="BY182" s="47"/>
      <c r="BZ182" s="47"/>
      <c r="CA182" s="47"/>
      <c r="CB182" s="47"/>
      <c r="CC182" s="47"/>
      <c r="CD182" s="47"/>
      <c r="CE182" s="47"/>
      <c r="CF182" s="47"/>
      <c r="CG182" s="47"/>
      <c r="CH182" s="47"/>
      <c r="CI182" s="47"/>
      <c r="CJ182" s="47"/>
      <c r="CK182" s="65"/>
      <c r="CL182" s="47"/>
      <c r="CM182" s="47"/>
      <c r="CN182" s="47"/>
      <c r="CO182" s="47"/>
      <c r="CP182" s="47"/>
      <c r="CQ182" s="47"/>
      <c r="CR182" s="47"/>
      <c r="CS182" s="47"/>
      <c r="CT182" s="47"/>
      <c r="CU182" s="47"/>
      <c r="CV182" s="47"/>
      <c r="CW182" s="47"/>
      <c r="CX182" s="47"/>
      <c r="CY182" s="65"/>
      <c r="CZ182" s="11"/>
      <c r="DA182" s="47">
        <f t="shared" si="981"/>
        <v>0</v>
      </c>
      <c r="DB182" s="47"/>
      <c r="DC182" s="47"/>
      <c r="DD182" s="47"/>
      <c r="DE182" s="47"/>
      <c r="DF182" s="47"/>
      <c r="DG182" s="47"/>
      <c r="DH182" s="47"/>
      <c r="DI182" s="47"/>
      <c r="DJ182" s="47"/>
      <c r="DK182" s="47"/>
      <c r="DL182" s="47"/>
      <c r="DM182" s="65">
        <f t="shared" si="982"/>
        <v>0</v>
      </c>
      <c r="DN182" s="1"/>
      <c r="DO182" s="130"/>
      <c r="DP182" s="130"/>
      <c r="DQ182" s="131"/>
    </row>
    <row r="183" outlineLevel="1">
      <c r="A183" s="15"/>
      <c r="B183" s="1" t="s">
        <v>173</v>
      </c>
      <c r="C183" s="15"/>
      <c r="D183" s="225">
        <f t="shared" si="951"/>
        <v>0</v>
      </c>
      <c r="E183" s="225">
        <f t="shared" si="952"/>
        <v>0</v>
      </c>
      <c r="F183" s="225">
        <f t="shared" si="953"/>
        <v>269.679</v>
      </c>
      <c r="G183" s="225">
        <f t="shared" si="954"/>
        <v>0</v>
      </c>
      <c r="H183" s="175"/>
      <c r="I183" s="176">
        <f t="shared" si="955"/>
        <v>0</v>
      </c>
      <c r="J183" s="177">
        <f t="shared" si="956"/>
        <v>0</v>
      </c>
      <c r="K183" s="176">
        <f t="shared" si="957"/>
        <v>269.679</v>
      </c>
      <c r="L183" s="177">
        <f t="shared" si="958"/>
        <v>1</v>
      </c>
      <c r="M183" s="176">
        <f t="shared" si="959"/>
        <v>0</v>
      </c>
      <c r="N183" s="177">
        <f t="shared" si="960"/>
        <v>0</v>
      </c>
      <c r="O183" s="175"/>
      <c r="P183" s="225">
        <f t="shared" si="961"/>
        <v>0</v>
      </c>
      <c r="Q183" s="225">
        <f t="shared" si="962"/>
        <v>1618.074</v>
      </c>
      <c r="R183" s="47">
        <f t="shared" si="963"/>
        <v>0</v>
      </c>
      <c r="S183" s="48"/>
      <c r="T183" s="66">
        <f t="shared" si="964"/>
        <v>1618.074</v>
      </c>
      <c r="U183" s="67">
        <f t="shared" si="965"/>
        <v>1</v>
      </c>
      <c r="V183" s="66">
        <f t="shared" si="966"/>
        <v>0</v>
      </c>
      <c r="W183" s="67">
        <f t="shared" si="967"/>
        <v>0</v>
      </c>
      <c r="X183" s="48"/>
      <c r="Y183" s="47">
        <f t="shared" si="968"/>
        <v>809.037</v>
      </c>
      <c r="Z183" s="47">
        <f t="shared" si="969"/>
        <v>1618.074</v>
      </c>
      <c r="AA183" s="47">
        <f t="shared" si="970"/>
        <v>3236.148</v>
      </c>
      <c r="AB183" s="95" t="str">
        <f t="shared" si="971"/>
        <v/>
      </c>
      <c r="AC183" s="17"/>
      <c r="AD183" s="66">
        <f t="shared" si="972"/>
        <v>2427.111</v>
      </c>
      <c r="AE183" s="67">
        <f t="shared" si="973"/>
        <v>0.75</v>
      </c>
      <c r="AF183" s="66">
        <f t="shared" si="974"/>
        <v>-809.037</v>
      </c>
      <c r="AG183" s="67">
        <f t="shared" si="975"/>
        <v>0</v>
      </c>
      <c r="AH183" s="117"/>
      <c r="AI183" s="47" t="str">
        <f t="shared" si="976"/>
        <v/>
      </c>
      <c r="AJ183" s="47" t="str">
        <f t="shared" ref="AJ183:AT183" si="1005">IFERROR(IF(AJ$3="A",CN183,IF(AJ$3="F",DB183,IF(AJ$3="B",BL183,0))),"")</f>
        <v/>
      </c>
      <c r="AK183" s="47" t="str">
        <f t="shared" si="1005"/>
        <v/>
      </c>
      <c r="AL183" s="47" t="str">
        <f t="shared" si="1005"/>
        <v/>
      </c>
      <c r="AM183" s="47" t="str">
        <f t="shared" si="1005"/>
        <v/>
      </c>
      <c r="AN183" s="47" t="str">
        <f t="shared" si="1005"/>
        <v/>
      </c>
      <c r="AO183" s="47" t="str">
        <f t="shared" si="1005"/>
        <v/>
      </c>
      <c r="AP183" s="47" t="str">
        <f t="shared" si="1005"/>
        <v/>
      </c>
      <c r="AQ183" s="47" t="str">
        <f t="shared" si="1005"/>
        <v/>
      </c>
      <c r="AR183" s="47">
        <f t="shared" si="1005"/>
        <v>269.679</v>
      </c>
      <c r="AS183" s="47">
        <f t="shared" si="1005"/>
        <v>269.679</v>
      </c>
      <c r="AT183" s="47">
        <f t="shared" si="1005"/>
        <v>269.679</v>
      </c>
      <c r="AU183" s="65">
        <f t="shared" si="978"/>
        <v>809.037</v>
      </c>
      <c r="AV183" s="11"/>
      <c r="AW183" s="47" t="str">
        <f t="shared" ref="AW183:BH183" si="1006">IFERROR(IF(AW$3="A",CM183,IF(AW$3="B",BK183)),0)</f>
        <v/>
      </c>
      <c r="AX183" s="47" t="str">
        <f t="shared" si="1006"/>
        <v/>
      </c>
      <c r="AY183" s="47" t="str">
        <f t="shared" si="1006"/>
        <v/>
      </c>
      <c r="AZ183" s="47" t="str">
        <f t="shared" si="1006"/>
        <v/>
      </c>
      <c r="BA183" s="47" t="str">
        <f t="shared" si="1006"/>
        <v/>
      </c>
      <c r="BB183" s="47" t="str">
        <f t="shared" si="1006"/>
        <v/>
      </c>
      <c r="BC183" s="47">
        <f t="shared" si="1006"/>
        <v>269.679</v>
      </c>
      <c r="BD183" s="47">
        <f t="shared" si="1006"/>
        <v>269.679</v>
      </c>
      <c r="BE183" s="47">
        <f t="shared" si="1006"/>
        <v>269.679</v>
      </c>
      <c r="BF183" s="47">
        <f t="shared" si="1006"/>
        <v>269.679</v>
      </c>
      <c r="BG183" s="47">
        <f t="shared" si="1006"/>
        <v>269.679</v>
      </c>
      <c r="BH183" s="47">
        <f t="shared" si="1006"/>
        <v>269.679</v>
      </c>
      <c r="BI183" s="65">
        <f t="shared" si="980"/>
        <v>1618.074</v>
      </c>
      <c r="BJ183" s="117"/>
      <c r="BK183" s="128">
        <v>269.679</v>
      </c>
      <c r="BL183" s="128">
        <v>269.679</v>
      </c>
      <c r="BM183" s="128">
        <v>269.679</v>
      </c>
      <c r="BN183" s="128">
        <v>269.679</v>
      </c>
      <c r="BO183" s="128">
        <v>269.679</v>
      </c>
      <c r="BP183" s="128">
        <v>269.679</v>
      </c>
      <c r="BQ183" s="128">
        <v>269.679</v>
      </c>
      <c r="BR183" s="128">
        <v>269.679</v>
      </c>
      <c r="BS183" s="128">
        <v>269.679</v>
      </c>
      <c r="BT183" s="128">
        <v>269.679</v>
      </c>
      <c r="BU183" s="128">
        <v>269.679</v>
      </c>
      <c r="BV183" s="128">
        <v>269.679</v>
      </c>
      <c r="BW183" s="129">
        <v>3236.148</v>
      </c>
      <c r="BX183" s="1"/>
      <c r="BY183" s="47"/>
      <c r="BZ183" s="47"/>
      <c r="CA183" s="47"/>
      <c r="CB183" s="47"/>
      <c r="CC183" s="47"/>
      <c r="CD183" s="47"/>
      <c r="CE183" s="47"/>
      <c r="CF183" s="47"/>
      <c r="CG183" s="47"/>
      <c r="CH183" s="47"/>
      <c r="CI183" s="47"/>
      <c r="CJ183" s="47"/>
      <c r="CK183" s="65"/>
      <c r="CL183" s="47"/>
      <c r="CM183" s="47"/>
      <c r="CN183" s="47"/>
      <c r="CO183" s="47"/>
      <c r="CP183" s="47"/>
      <c r="CQ183" s="47"/>
      <c r="CR183" s="47"/>
      <c r="CS183" s="47"/>
      <c r="CT183" s="47"/>
      <c r="CU183" s="47"/>
      <c r="CV183" s="47"/>
      <c r="CW183" s="47"/>
      <c r="CX183" s="47"/>
      <c r="CY183" s="65"/>
      <c r="CZ183" s="11"/>
      <c r="DA183" s="47">
        <f t="shared" si="981"/>
        <v>269.679</v>
      </c>
      <c r="DB183" s="47"/>
      <c r="DC183" s="47"/>
      <c r="DD183" s="47"/>
      <c r="DE183" s="47"/>
      <c r="DF183" s="47"/>
      <c r="DG183" s="47"/>
      <c r="DH183" s="47"/>
      <c r="DI183" s="47"/>
      <c r="DJ183" s="47"/>
      <c r="DK183" s="47"/>
      <c r="DL183" s="47"/>
      <c r="DM183" s="65">
        <f t="shared" si="982"/>
        <v>269.679</v>
      </c>
      <c r="DN183" s="1"/>
      <c r="DO183" s="130"/>
      <c r="DP183" s="130"/>
      <c r="DQ183" s="131"/>
    </row>
    <row r="184" outlineLevel="1">
      <c r="A184" s="15"/>
      <c r="B184" s="239" t="s">
        <v>174</v>
      </c>
      <c r="C184" s="15"/>
      <c r="D184" s="47">
        <f t="shared" si="951"/>
        <v>0</v>
      </c>
      <c r="E184" s="47">
        <f t="shared" si="952"/>
        <v>0</v>
      </c>
      <c r="F184" s="47">
        <f t="shared" si="953"/>
        <v>232</v>
      </c>
      <c r="G184" s="47">
        <f t="shared" si="954"/>
        <v>0</v>
      </c>
      <c r="H184" s="48"/>
      <c r="I184" s="66">
        <f t="shared" si="955"/>
        <v>0</v>
      </c>
      <c r="J184" s="67">
        <f t="shared" si="956"/>
        <v>0</v>
      </c>
      <c r="K184" s="66">
        <f t="shared" si="957"/>
        <v>232</v>
      </c>
      <c r="L184" s="67">
        <f t="shared" si="958"/>
        <v>1</v>
      </c>
      <c r="M184" s="66">
        <f t="shared" si="959"/>
        <v>0</v>
      </c>
      <c r="N184" s="67">
        <f t="shared" si="960"/>
        <v>0</v>
      </c>
      <c r="O184" s="48"/>
      <c r="P184" s="47">
        <f t="shared" si="961"/>
        <v>0</v>
      </c>
      <c r="Q184" s="47">
        <f t="shared" si="962"/>
        <v>2358</v>
      </c>
      <c r="R184" s="47">
        <f t="shared" si="963"/>
        <v>0</v>
      </c>
      <c r="S184" s="48"/>
      <c r="T184" s="66">
        <f t="shared" si="964"/>
        <v>2358</v>
      </c>
      <c r="U184" s="67">
        <f t="shared" si="965"/>
        <v>1</v>
      </c>
      <c r="V184" s="66">
        <f t="shared" si="966"/>
        <v>0</v>
      </c>
      <c r="W184" s="67">
        <f t="shared" si="967"/>
        <v>0</v>
      </c>
      <c r="X184" s="48"/>
      <c r="Y184" s="47">
        <f t="shared" si="968"/>
        <v>1062</v>
      </c>
      <c r="Z184" s="47">
        <f t="shared" si="969"/>
        <v>1642</v>
      </c>
      <c r="AA184" s="47">
        <f t="shared" si="970"/>
        <v>4000</v>
      </c>
      <c r="AB184" s="95" t="str">
        <f t="shared" si="971"/>
        <v/>
      </c>
      <c r="AC184" s="17"/>
      <c r="AD184" s="66">
        <f t="shared" si="972"/>
        <v>2938</v>
      </c>
      <c r="AE184" s="67">
        <f t="shared" si="973"/>
        <v>0.7345</v>
      </c>
      <c r="AF184" s="66">
        <f t="shared" si="974"/>
        <v>-1062</v>
      </c>
      <c r="AG184" s="67">
        <f t="shared" si="975"/>
        <v>0</v>
      </c>
      <c r="AH184" s="117"/>
      <c r="AI184" s="47" t="str">
        <f t="shared" si="976"/>
        <v/>
      </c>
      <c r="AJ184" s="47" t="str">
        <f t="shared" ref="AJ184:AT184" si="1007">IFERROR(IF(AJ$3="A",CN184,IF(AJ$3="F",DB184,IF(AJ$3="B",BL184,0))),"")</f>
        <v/>
      </c>
      <c r="AK184" s="47" t="str">
        <f t="shared" si="1007"/>
        <v/>
      </c>
      <c r="AL184" s="47" t="str">
        <f t="shared" si="1007"/>
        <v/>
      </c>
      <c r="AM184" s="47" t="str">
        <f t="shared" si="1007"/>
        <v/>
      </c>
      <c r="AN184" s="47" t="str">
        <f t="shared" si="1007"/>
        <v/>
      </c>
      <c r="AO184" s="47" t="str">
        <f t="shared" si="1007"/>
        <v/>
      </c>
      <c r="AP184" s="47" t="str">
        <f t="shared" si="1007"/>
        <v/>
      </c>
      <c r="AQ184" s="47" t="str">
        <f t="shared" si="1007"/>
        <v/>
      </c>
      <c r="AR184" s="47">
        <f t="shared" si="1007"/>
        <v>232</v>
      </c>
      <c r="AS184" s="47">
        <f t="shared" si="1007"/>
        <v>598</v>
      </c>
      <c r="AT184" s="47">
        <f t="shared" si="1007"/>
        <v>232</v>
      </c>
      <c r="AU184" s="65">
        <f t="shared" si="978"/>
        <v>1062</v>
      </c>
      <c r="AV184" s="11"/>
      <c r="AW184" s="47" t="str">
        <f t="shared" ref="AW184:BH184" si="1008">IFERROR(IF(AW$3="A",CM184,IF(AW$3="B",BK184)),0)</f>
        <v/>
      </c>
      <c r="AX184" s="47" t="str">
        <f t="shared" si="1008"/>
        <v/>
      </c>
      <c r="AY184" s="47" t="str">
        <f t="shared" si="1008"/>
        <v/>
      </c>
      <c r="AZ184" s="47" t="str">
        <f t="shared" si="1008"/>
        <v/>
      </c>
      <c r="BA184" s="47" t="str">
        <f t="shared" si="1008"/>
        <v/>
      </c>
      <c r="BB184" s="47" t="str">
        <f t="shared" si="1008"/>
        <v/>
      </c>
      <c r="BC184" s="47">
        <f t="shared" si="1008"/>
        <v>116</v>
      </c>
      <c r="BD184" s="47">
        <f t="shared" si="1008"/>
        <v>116</v>
      </c>
      <c r="BE184" s="47">
        <f t="shared" si="1008"/>
        <v>348</v>
      </c>
      <c r="BF184" s="47">
        <f t="shared" si="1008"/>
        <v>232</v>
      </c>
      <c r="BG184" s="47">
        <f t="shared" si="1008"/>
        <v>598</v>
      </c>
      <c r="BH184" s="47">
        <f t="shared" si="1008"/>
        <v>232</v>
      </c>
      <c r="BI184" s="65">
        <f t="shared" si="980"/>
        <v>1642</v>
      </c>
      <c r="BJ184" s="117"/>
      <c r="BK184" s="128">
        <v>914.0</v>
      </c>
      <c r="BL184" s="128">
        <v>116.0</v>
      </c>
      <c r="BM184" s="128">
        <v>748.0</v>
      </c>
      <c r="BN184" s="128">
        <v>232.0</v>
      </c>
      <c r="BO184" s="128">
        <v>116.0</v>
      </c>
      <c r="BP184" s="128">
        <v>232.0</v>
      </c>
      <c r="BQ184" s="128">
        <v>116.0</v>
      </c>
      <c r="BR184" s="128">
        <v>116.0</v>
      </c>
      <c r="BS184" s="128">
        <v>348.0</v>
      </c>
      <c r="BT184" s="128">
        <v>232.0</v>
      </c>
      <c r="BU184" s="128">
        <v>598.0</v>
      </c>
      <c r="BV184" s="128">
        <v>232.0</v>
      </c>
      <c r="BW184" s="129">
        <v>4000.0</v>
      </c>
      <c r="BX184" s="1"/>
      <c r="BY184" s="47"/>
      <c r="BZ184" s="47"/>
      <c r="CA184" s="47"/>
      <c r="CB184" s="47"/>
      <c r="CC184" s="47"/>
      <c r="CD184" s="47"/>
      <c r="CE184" s="47"/>
      <c r="CF184" s="47"/>
      <c r="CG184" s="47"/>
      <c r="CH184" s="47"/>
      <c r="CI184" s="47"/>
      <c r="CJ184" s="47"/>
      <c r="CK184" s="65"/>
      <c r="CL184" s="47"/>
      <c r="CM184" s="47"/>
      <c r="CN184" s="47"/>
      <c r="CO184" s="47"/>
      <c r="CP184" s="47"/>
      <c r="CQ184" s="47"/>
      <c r="CR184" s="47"/>
      <c r="CS184" s="47"/>
      <c r="CT184" s="47"/>
      <c r="CU184" s="47"/>
      <c r="CV184" s="47"/>
      <c r="CW184" s="47"/>
      <c r="CX184" s="47"/>
      <c r="CY184" s="65"/>
      <c r="CZ184" s="11"/>
      <c r="DA184" s="47">
        <f t="shared" si="981"/>
        <v>914</v>
      </c>
      <c r="DB184" s="47"/>
      <c r="DC184" s="47"/>
      <c r="DD184" s="47"/>
      <c r="DE184" s="47"/>
      <c r="DF184" s="47"/>
      <c r="DG184" s="47"/>
      <c r="DH184" s="47"/>
      <c r="DI184" s="47"/>
      <c r="DJ184" s="47"/>
      <c r="DK184" s="47"/>
      <c r="DL184" s="47"/>
      <c r="DM184" s="65">
        <f t="shared" si="982"/>
        <v>914</v>
      </c>
      <c r="DN184" s="1"/>
      <c r="DO184" s="130"/>
      <c r="DP184" s="130"/>
      <c r="DQ184" s="131"/>
    </row>
    <row r="185" outlineLevel="1">
      <c r="A185" s="15"/>
      <c r="B185" s="1" t="s">
        <v>175</v>
      </c>
      <c r="C185" s="15"/>
      <c r="D185" s="47">
        <f t="shared" si="951"/>
        <v>0</v>
      </c>
      <c r="E185" s="47">
        <f t="shared" si="952"/>
        <v>0</v>
      </c>
      <c r="F185" s="47">
        <f t="shared" si="953"/>
        <v>0</v>
      </c>
      <c r="G185" s="47">
        <f t="shared" si="954"/>
        <v>0</v>
      </c>
      <c r="H185" s="48"/>
      <c r="I185" s="66">
        <f t="shared" si="955"/>
        <v>0</v>
      </c>
      <c r="J185" s="67">
        <f t="shared" si="956"/>
        <v>0</v>
      </c>
      <c r="K185" s="66">
        <f t="shared" si="957"/>
        <v>0</v>
      </c>
      <c r="L185" s="67">
        <f t="shared" si="958"/>
        <v>0</v>
      </c>
      <c r="M185" s="66">
        <f t="shared" si="959"/>
        <v>0</v>
      </c>
      <c r="N185" s="67">
        <f t="shared" si="960"/>
        <v>0</v>
      </c>
      <c r="O185" s="48"/>
      <c r="P185" s="47">
        <f t="shared" si="961"/>
        <v>0</v>
      </c>
      <c r="Q185" s="47">
        <f t="shared" si="962"/>
        <v>0</v>
      </c>
      <c r="R185" s="47">
        <f t="shared" si="963"/>
        <v>0</v>
      </c>
      <c r="S185" s="48"/>
      <c r="T185" s="66">
        <f t="shared" si="964"/>
        <v>0</v>
      </c>
      <c r="U185" s="67">
        <f t="shared" si="965"/>
        <v>0</v>
      </c>
      <c r="V185" s="66">
        <f t="shared" si="966"/>
        <v>0</v>
      </c>
      <c r="W185" s="67">
        <f t="shared" si="967"/>
        <v>0</v>
      </c>
      <c r="X185" s="48"/>
      <c r="Y185" s="47">
        <f t="shared" si="968"/>
        <v>0</v>
      </c>
      <c r="Z185" s="47">
        <f t="shared" si="969"/>
        <v>0</v>
      </c>
      <c r="AA185" s="47">
        <f t="shared" si="970"/>
        <v>0</v>
      </c>
      <c r="AB185" s="95" t="str">
        <f t="shared" si="971"/>
        <v/>
      </c>
      <c r="AC185" s="17"/>
      <c r="AD185" s="66">
        <f t="shared" si="972"/>
        <v>0</v>
      </c>
      <c r="AE185" s="67">
        <f t="shared" si="973"/>
        <v>0</v>
      </c>
      <c r="AF185" s="66">
        <f t="shared" si="974"/>
        <v>0</v>
      </c>
      <c r="AG185" s="67">
        <f t="shared" si="975"/>
        <v>0</v>
      </c>
      <c r="AH185" s="117"/>
      <c r="AI185" s="47" t="str">
        <f t="shared" si="976"/>
        <v/>
      </c>
      <c r="AJ185" s="47" t="str">
        <f t="shared" ref="AJ185:AT185" si="1009">IFERROR(IF(AJ$3="A",CN185,IF(AJ$3="F",DB185,IF(AJ$3="B",BL185,0))),"")</f>
        <v/>
      </c>
      <c r="AK185" s="47" t="str">
        <f t="shared" si="1009"/>
        <v/>
      </c>
      <c r="AL185" s="47" t="str">
        <f t="shared" si="1009"/>
        <v/>
      </c>
      <c r="AM185" s="47" t="str">
        <f t="shared" si="1009"/>
        <v/>
      </c>
      <c r="AN185" s="47" t="str">
        <f t="shared" si="1009"/>
        <v/>
      </c>
      <c r="AO185" s="47" t="str">
        <f t="shared" si="1009"/>
        <v/>
      </c>
      <c r="AP185" s="47" t="str">
        <f t="shared" si="1009"/>
        <v/>
      </c>
      <c r="AQ185" s="47" t="str">
        <f t="shared" si="1009"/>
        <v/>
      </c>
      <c r="AR185" s="47" t="str">
        <f t="shared" si="1009"/>
        <v/>
      </c>
      <c r="AS185" s="47" t="str">
        <f t="shared" si="1009"/>
        <v/>
      </c>
      <c r="AT185" s="47" t="str">
        <f t="shared" si="1009"/>
        <v/>
      </c>
      <c r="AU185" s="65">
        <f t="shared" si="978"/>
        <v>0</v>
      </c>
      <c r="AV185" s="11"/>
      <c r="AW185" s="47" t="str">
        <f t="shared" ref="AW185:BH185" si="1010">IFERROR(IF(AW$3="A",CM185,IF(AW$3="B",BK185)),0)</f>
        <v/>
      </c>
      <c r="AX185" s="47" t="str">
        <f t="shared" si="1010"/>
        <v/>
      </c>
      <c r="AY185" s="47" t="str">
        <f t="shared" si="1010"/>
        <v/>
      </c>
      <c r="AZ185" s="47" t="str">
        <f t="shared" si="1010"/>
        <v/>
      </c>
      <c r="BA185" s="47" t="str">
        <f t="shared" si="1010"/>
        <v/>
      </c>
      <c r="BB185" s="47" t="str">
        <f t="shared" si="1010"/>
        <v/>
      </c>
      <c r="BC185" s="47" t="str">
        <f t="shared" si="1010"/>
        <v/>
      </c>
      <c r="BD185" s="47" t="str">
        <f t="shared" si="1010"/>
        <v/>
      </c>
      <c r="BE185" s="47" t="str">
        <f t="shared" si="1010"/>
        <v/>
      </c>
      <c r="BF185" s="47" t="str">
        <f t="shared" si="1010"/>
        <v/>
      </c>
      <c r="BG185" s="47" t="str">
        <f t="shared" si="1010"/>
        <v/>
      </c>
      <c r="BH185" s="47" t="str">
        <f t="shared" si="1010"/>
        <v/>
      </c>
      <c r="BI185" s="65">
        <f t="shared" si="980"/>
        <v>0</v>
      </c>
      <c r="BJ185" s="117"/>
      <c r="BK185" s="47"/>
      <c r="BL185" s="47"/>
      <c r="BM185" s="47"/>
      <c r="BN185" s="47"/>
      <c r="BO185" s="47"/>
      <c r="BP185" s="47"/>
      <c r="BQ185" s="47"/>
      <c r="BR185" s="47"/>
      <c r="BS185" s="47"/>
      <c r="BT185" s="47"/>
      <c r="BU185" s="47"/>
      <c r="BV185" s="47"/>
      <c r="BW185" s="129">
        <v>0.0</v>
      </c>
      <c r="BX185" s="1"/>
      <c r="BY185" s="47"/>
      <c r="BZ185" s="47"/>
      <c r="CA185" s="47"/>
      <c r="CB185" s="47"/>
      <c r="CC185" s="47"/>
      <c r="CD185" s="47"/>
      <c r="CE185" s="47"/>
      <c r="CF185" s="47"/>
      <c r="CG185" s="47"/>
      <c r="CH185" s="47"/>
      <c r="CI185" s="47"/>
      <c r="CJ185" s="47"/>
      <c r="CK185" s="65"/>
      <c r="CL185" s="47"/>
      <c r="CM185" s="47"/>
      <c r="CN185" s="47"/>
      <c r="CO185" s="47"/>
      <c r="CP185" s="47"/>
      <c r="CQ185" s="47"/>
      <c r="CR185" s="47"/>
      <c r="CS185" s="47"/>
      <c r="CT185" s="47"/>
      <c r="CU185" s="47"/>
      <c r="CV185" s="47"/>
      <c r="CW185" s="47"/>
      <c r="CX185" s="47"/>
      <c r="CY185" s="65"/>
      <c r="CZ185" s="11"/>
      <c r="DA185" s="95" t="str">
        <f t="shared" si="981"/>
        <v/>
      </c>
      <c r="DB185" s="95"/>
      <c r="DC185" s="95"/>
      <c r="DD185" s="95"/>
      <c r="DE185" s="95"/>
      <c r="DF185" s="95"/>
      <c r="DG185" s="95"/>
      <c r="DH185" s="95"/>
      <c r="DI185" s="95"/>
      <c r="DJ185" s="95"/>
      <c r="DK185" s="95"/>
      <c r="DL185" s="95"/>
      <c r="DM185" s="65">
        <f t="shared" si="982"/>
        <v>0</v>
      </c>
      <c r="DN185" s="1"/>
      <c r="DO185" s="130"/>
      <c r="DP185" s="130"/>
      <c r="DQ185" s="131"/>
    </row>
    <row r="186">
      <c r="A186" s="15"/>
      <c r="B186" s="207" t="s">
        <v>139</v>
      </c>
      <c r="C186" s="208"/>
      <c r="D186" s="157">
        <f t="shared" ref="D186:G186" si="1011">SUM(D170:D185)</f>
        <v>0</v>
      </c>
      <c r="E186" s="157">
        <f t="shared" si="1011"/>
        <v>0</v>
      </c>
      <c r="F186" s="157">
        <f t="shared" si="1011"/>
        <v>11674.214</v>
      </c>
      <c r="G186" s="157">
        <f t="shared" si="1011"/>
        <v>0</v>
      </c>
      <c r="H186" s="17"/>
      <c r="I186" s="75">
        <f t="shared" si="955"/>
        <v>0</v>
      </c>
      <c r="J186" s="60">
        <f t="shared" si="956"/>
        <v>0</v>
      </c>
      <c r="K186" s="75">
        <f t="shared" si="957"/>
        <v>11674.214</v>
      </c>
      <c r="L186" s="60">
        <f t="shared" si="958"/>
        <v>1</v>
      </c>
      <c r="M186" s="75">
        <f t="shared" si="959"/>
        <v>0</v>
      </c>
      <c r="N186" s="60">
        <f t="shared" si="960"/>
        <v>0</v>
      </c>
      <c r="O186" s="17"/>
      <c r="P186" s="157">
        <f t="shared" ref="P186:R186" si="1012">SUM(P170:P185)</f>
        <v>0</v>
      </c>
      <c r="Q186" s="157">
        <f t="shared" si="1012"/>
        <v>67171.654</v>
      </c>
      <c r="R186" s="157">
        <f t="shared" si="1012"/>
        <v>0</v>
      </c>
      <c r="S186" s="17"/>
      <c r="T186" s="75">
        <f t="shared" si="964"/>
        <v>67171.654</v>
      </c>
      <c r="U186" s="60">
        <f t="shared" si="965"/>
        <v>1</v>
      </c>
      <c r="V186" s="75">
        <f t="shared" si="966"/>
        <v>0</v>
      </c>
      <c r="W186" s="60">
        <f t="shared" si="967"/>
        <v>0</v>
      </c>
      <c r="X186" s="17"/>
      <c r="Y186" s="157">
        <f t="shared" ref="Y186:AB186" si="1013">SUM(Y170:Y185)</f>
        <v>36517.332</v>
      </c>
      <c r="Z186" s="157">
        <f t="shared" si="1013"/>
        <v>75573.683</v>
      </c>
      <c r="AA186" s="157">
        <f t="shared" si="1013"/>
        <v>142745.337</v>
      </c>
      <c r="AB186" s="157">
        <f t="shared" si="1013"/>
        <v>0</v>
      </c>
      <c r="AC186" s="17"/>
      <c r="AD186" s="75">
        <f t="shared" si="972"/>
        <v>106228.005</v>
      </c>
      <c r="AE186" s="60">
        <f t="shared" si="973"/>
        <v>0.7441784596</v>
      </c>
      <c r="AF186" s="75">
        <f t="shared" si="974"/>
        <v>-36517.332</v>
      </c>
      <c r="AG186" s="60">
        <f t="shared" si="975"/>
        <v>0</v>
      </c>
      <c r="AH186" s="119"/>
      <c r="AI186" s="157">
        <f t="shared" ref="AI186:AU186" si="1014">SUM(AI170:AI185)</f>
        <v>0</v>
      </c>
      <c r="AJ186" s="157">
        <f t="shared" si="1014"/>
        <v>0</v>
      </c>
      <c r="AK186" s="157">
        <f t="shared" si="1014"/>
        <v>0</v>
      </c>
      <c r="AL186" s="157">
        <f t="shared" si="1014"/>
        <v>0</v>
      </c>
      <c r="AM186" s="157">
        <f t="shared" si="1014"/>
        <v>0</v>
      </c>
      <c r="AN186" s="157">
        <f t="shared" si="1014"/>
        <v>0</v>
      </c>
      <c r="AO186" s="157">
        <f t="shared" si="1014"/>
        <v>0</v>
      </c>
      <c r="AP186" s="157">
        <f t="shared" si="1014"/>
        <v>0</v>
      </c>
      <c r="AQ186" s="157">
        <f t="shared" si="1014"/>
        <v>0</v>
      </c>
      <c r="AR186" s="157">
        <f t="shared" si="1014"/>
        <v>12979.599</v>
      </c>
      <c r="AS186" s="157">
        <f t="shared" si="1014"/>
        <v>11683.356</v>
      </c>
      <c r="AT186" s="157">
        <f t="shared" si="1014"/>
        <v>11854.377</v>
      </c>
      <c r="AU186" s="157">
        <f t="shared" si="1014"/>
        <v>36517.332</v>
      </c>
      <c r="AV186" s="11"/>
      <c r="AW186" s="157">
        <f t="shared" ref="AW186:BI186" si="1015">SUM(AW170:AW185)</f>
        <v>0</v>
      </c>
      <c r="AX186" s="157">
        <f t="shared" si="1015"/>
        <v>0</v>
      </c>
      <c r="AY186" s="157">
        <f t="shared" si="1015"/>
        <v>0</v>
      </c>
      <c r="AZ186" s="157">
        <f t="shared" si="1015"/>
        <v>0</v>
      </c>
      <c r="BA186" s="157">
        <f t="shared" si="1015"/>
        <v>0</v>
      </c>
      <c r="BB186" s="157">
        <f t="shared" si="1015"/>
        <v>0</v>
      </c>
      <c r="BC186" s="157">
        <f t="shared" si="1015"/>
        <v>13129.408</v>
      </c>
      <c r="BD186" s="157">
        <f t="shared" si="1015"/>
        <v>12999.202</v>
      </c>
      <c r="BE186" s="157">
        <f t="shared" si="1015"/>
        <v>12927.741</v>
      </c>
      <c r="BF186" s="157">
        <f t="shared" si="1015"/>
        <v>12979.599</v>
      </c>
      <c r="BG186" s="157">
        <f t="shared" si="1015"/>
        <v>11683.356</v>
      </c>
      <c r="BH186" s="157">
        <f t="shared" si="1015"/>
        <v>11854.377</v>
      </c>
      <c r="BI186" s="157">
        <f t="shared" si="1015"/>
        <v>75573.683</v>
      </c>
      <c r="BJ186" s="119"/>
      <c r="BK186" s="158">
        <v>11701.959</v>
      </c>
      <c r="BL186" s="158">
        <v>10879.115</v>
      </c>
      <c r="BM186" s="158">
        <v>11013.123</v>
      </c>
      <c r="BN186" s="158">
        <v>10898.702</v>
      </c>
      <c r="BO186" s="158">
        <v>11004.541</v>
      </c>
      <c r="BP186" s="158">
        <v>11674.214</v>
      </c>
      <c r="BQ186" s="158">
        <v>13129.408</v>
      </c>
      <c r="BR186" s="158">
        <v>12999.202</v>
      </c>
      <c r="BS186" s="158">
        <v>12927.741</v>
      </c>
      <c r="BT186" s="158">
        <v>12979.599</v>
      </c>
      <c r="BU186" s="158">
        <v>11683.356</v>
      </c>
      <c r="BV186" s="158">
        <v>11854.377</v>
      </c>
      <c r="BW186" s="158">
        <v>142745.337</v>
      </c>
      <c r="BX186" s="1"/>
      <c r="BY186" s="157"/>
      <c r="BZ186" s="157"/>
      <c r="CA186" s="157"/>
      <c r="CB186" s="157"/>
      <c r="CC186" s="157"/>
      <c r="CD186" s="157"/>
      <c r="CE186" s="157"/>
      <c r="CF186" s="157"/>
      <c r="CG186" s="157"/>
      <c r="CH186" s="157"/>
      <c r="CI186" s="157"/>
      <c r="CJ186" s="157"/>
      <c r="CK186" s="157"/>
      <c r="CL186" s="159"/>
      <c r="CM186" s="157"/>
      <c r="CN186" s="157"/>
      <c r="CO186" s="157"/>
      <c r="CP186" s="157"/>
      <c r="CQ186" s="157"/>
      <c r="CR186" s="157"/>
      <c r="CS186" s="157"/>
      <c r="CT186" s="157"/>
      <c r="CU186" s="157"/>
      <c r="CV186" s="157"/>
      <c r="CW186" s="157"/>
      <c r="CX186" s="157"/>
      <c r="CY186" s="157"/>
      <c r="CZ186" s="11"/>
      <c r="DA186" s="157">
        <f>SUM(DA170:DA185)</f>
        <v>11701.959</v>
      </c>
      <c r="DB186" s="157"/>
      <c r="DC186" s="157"/>
      <c r="DD186" s="157"/>
      <c r="DE186" s="157"/>
      <c r="DF186" s="157"/>
      <c r="DG186" s="157"/>
      <c r="DH186" s="157"/>
      <c r="DI186" s="157"/>
      <c r="DJ186" s="157"/>
      <c r="DK186" s="157"/>
      <c r="DL186" s="157"/>
      <c r="DM186" s="157">
        <f>SUM(DM170:DM185)</f>
        <v>11701.959</v>
      </c>
      <c r="DN186" s="1"/>
      <c r="DO186" s="160"/>
      <c r="DP186" s="160"/>
      <c r="DQ186" s="186"/>
    </row>
    <row r="187">
      <c r="A187" s="15"/>
      <c r="B187" s="15"/>
      <c r="C187" s="15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19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11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119"/>
      <c r="BK187" s="47"/>
      <c r="BL187" s="47"/>
      <c r="BM187" s="47"/>
      <c r="BN187" s="47"/>
      <c r="BO187" s="47"/>
      <c r="BP187" s="47"/>
      <c r="BQ187" s="47"/>
      <c r="BR187" s="47"/>
      <c r="BS187" s="47"/>
      <c r="BT187" s="47"/>
      <c r="BU187" s="47"/>
      <c r="BV187" s="47"/>
      <c r="BW187" s="47"/>
      <c r="BX187" s="1"/>
      <c r="BY187" s="47"/>
      <c r="BZ187" s="47"/>
      <c r="CA187" s="47"/>
      <c r="CB187" s="47"/>
      <c r="CC187" s="47"/>
      <c r="CD187" s="47"/>
      <c r="CE187" s="47"/>
      <c r="CF187" s="47"/>
      <c r="CG187" s="47"/>
      <c r="CH187" s="47"/>
      <c r="CI187" s="47"/>
      <c r="CJ187" s="47"/>
      <c r="CK187" s="47"/>
      <c r="CL187" s="47"/>
      <c r="CM187" s="47"/>
      <c r="CN187" s="47"/>
      <c r="CO187" s="47"/>
      <c r="CP187" s="47"/>
      <c r="CQ187" s="47"/>
      <c r="CR187" s="47"/>
      <c r="CS187" s="47"/>
      <c r="CT187" s="47"/>
      <c r="CU187" s="47"/>
      <c r="CV187" s="47"/>
      <c r="CW187" s="47"/>
      <c r="CX187" s="47"/>
      <c r="CY187" s="47"/>
      <c r="CZ187" s="11"/>
      <c r="DA187" s="95"/>
      <c r="DB187" s="95"/>
      <c r="DC187" s="95"/>
      <c r="DD187" s="95"/>
      <c r="DE187" s="95"/>
      <c r="DF187" s="95"/>
      <c r="DG187" s="95"/>
      <c r="DH187" s="95"/>
      <c r="DI187" s="95"/>
      <c r="DJ187" s="95"/>
      <c r="DK187" s="95"/>
      <c r="DL187" s="95"/>
      <c r="DM187" s="95"/>
      <c r="DN187" s="1"/>
      <c r="DO187" s="163"/>
      <c r="DP187" s="163"/>
      <c r="DQ187" s="131"/>
    </row>
    <row r="188">
      <c r="A188" s="105">
        <v>6.0</v>
      </c>
      <c r="B188" s="152" t="s">
        <v>176</v>
      </c>
      <c r="C188" s="124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34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12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134"/>
      <c r="BK188" s="47"/>
      <c r="BL188" s="47"/>
      <c r="BM188" s="47"/>
      <c r="BN188" s="47"/>
      <c r="BO188" s="47"/>
      <c r="BP188" s="47"/>
      <c r="BQ188" s="47"/>
      <c r="BR188" s="47"/>
      <c r="BS188" s="47"/>
      <c r="BT188" s="47"/>
      <c r="BU188" s="47"/>
      <c r="BV188" s="47"/>
      <c r="BW188" s="47"/>
      <c r="BX188" s="1"/>
      <c r="BY188" s="47"/>
      <c r="BZ188" s="47"/>
      <c r="CA188" s="47"/>
      <c r="CB188" s="47"/>
      <c r="CC188" s="47"/>
      <c r="CD188" s="47"/>
      <c r="CE188" s="47"/>
      <c r="CF188" s="47"/>
      <c r="CG188" s="47"/>
      <c r="CH188" s="47"/>
      <c r="CI188" s="47"/>
      <c r="CJ188" s="47"/>
      <c r="CK188" s="47"/>
      <c r="CL188" s="47"/>
      <c r="CM188" s="47"/>
      <c r="CN188" s="47"/>
      <c r="CO188" s="47"/>
      <c r="CP188" s="47"/>
      <c r="CQ188" s="47"/>
      <c r="CR188" s="47"/>
      <c r="CS188" s="47"/>
      <c r="CT188" s="47"/>
      <c r="CU188" s="47"/>
      <c r="CV188" s="47"/>
      <c r="CW188" s="47"/>
      <c r="CX188" s="47"/>
      <c r="CY188" s="47"/>
      <c r="CZ188" s="11"/>
      <c r="DA188" s="95"/>
      <c r="DB188" s="95"/>
      <c r="DC188" s="95"/>
      <c r="DD188" s="95"/>
      <c r="DE188" s="95"/>
      <c r="DF188" s="95"/>
      <c r="DG188" s="95"/>
      <c r="DH188" s="95"/>
      <c r="DI188" s="95"/>
      <c r="DJ188" s="95"/>
      <c r="DK188" s="95"/>
      <c r="DL188" s="95"/>
      <c r="DM188" s="95"/>
      <c r="DN188" s="1"/>
      <c r="DO188" s="163"/>
      <c r="DP188" s="163"/>
      <c r="DQ188" s="131"/>
    </row>
    <row r="189" outlineLevel="1">
      <c r="A189" s="154"/>
      <c r="B189" s="236" t="s">
        <v>177</v>
      </c>
      <c r="C189" s="124"/>
      <c r="D189" s="225">
        <f t="shared" ref="D189:D197" si="1018">SUMIFS($CM189:$CX189,$CM$35:$CX$35,$D$2)</f>
        <v>0</v>
      </c>
      <c r="E189" s="225">
        <f t="shared" ref="E189:E197" si="1019">SUMIFS($DA189:$DM189,$DA$35:$DM$35,$D$2)</f>
        <v>0</v>
      </c>
      <c r="F189" s="225">
        <f t="shared" ref="F189:F197" si="1020">SUMIFS($BK189:$BV189,$BK$35:$BV$35,$D$2)</f>
        <v>45616.837</v>
      </c>
      <c r="G189" s="225">
        <f t="shared" ref="G189:G197" si="1021">SUMIFS($BY189:$CJ189,$BY$35:$CJ$35,$D$2)</f>
        <v>0</v>
      </c>
      <c r="H189" s="175"/>
      <c r="I189" s="176">
        <f t="shared" ref="I189:I223" si="1022">E189-D189</f>
        <v>0</v>
      </c>
      <c r="J189" s="177">
        <f t="shared" ref="J189:J223" si="1023">IFERROR(I189/ABS(E189),0)</f>
        <v>0</v>
      </c>
      <c r="K189" s="176">
        <f t="shared" ref="K189:K223" si="1024">F189-D189</f>
        <v>45616.837</v>
      </c>
      <c r="L189" s="177">
        <f t="shared" ref="L189:L223" si="1025">IFERROR(K189/ABS(F189),0)</f>
        <v>1</v>
      </c>
      <c r="M189" s="176">
        <f t="shared" ref="M189:M223" si="1026">G189-D189</f>
        <v>0</v>
      </c>
      <c r="N189" s="177">
        <f t="shared" ref="N189:N223" si="1027">IFERROR(M189/ABS(G189),0)</f>
        <v>0</v>
      </c>
      <c r="O189" s="175"/>
      <c r="P189" s="47">
        <f t="shared" ref="P189:P197" si="1028">SUMIFS($CM189:$CX189,$CM$35:$CX$35,$P$2)</f>
        <v>0</v>
      </c>
      <c r="Q189" s="225">
        <f t="shared" ref="Q189:Q197" si="1029">SUMIFS($BK189:$BV189,$BK$35:$BV$35,$P$2)</f>
        <v>207251.701</v>
      </c>
      <c r="R189" s="225">
        <f t="shared" ref="R189:R197" si="1030">SUMIFS($BY189:$CJ189,$BY$35:$CJ$35,$P$2)</f>
        <v>0</v>
      </c>
      <c r="S189" s="48"/>
      <c r="T189" s="66">
        <f t="shared" ref="T189:T223" si="1031">Q189-P189</f>
        <v>207251.701</v>
      </c>
      <c r="U189" s="67">
        <f t="shared" ref="U189:U223" si="1032">IFERROR(T189/ABS(Q189),0)</f>
        <v>1</v>
      </c>
      <c r="V189" s="66">
        <f t="shared" ref="V189:V223" si="1033">R189-P189</f>
        <v>0</v>
      </c>
      <c r="W189" s="67">
        <f t="shared" ref="W189:W223" si="1034">IFERROR(V189/ABS(R189),0)</f>
        <v>0</v>
      </c>
      <c r="X189" s="48"/>
      <c r="Y189" s="47">
        <f t="shared" ref="Y189:Y197" si="1035">$AU189</f>
        <v>117742.248</v>
      </c>
      <c r="Z189" s="47">
        <f t="shared" ref="Z189:Z197" si="1036">$BI189</f>
        <v>324281.263</v>
      </c>
      <c r="AA189" s="225">
        <f t="shared" ref="AA189:AA197" si="1037">$BW189</f>
        <v>531532.964</v>
      </c>
      <c r="AB189" s="95" t="str">
        <f t="shared" ref="AB189:AB197" si="1038">$CK189</f>
        <v/>
      </c>
      <c r="AC189" s="125"/>
      <c r="AD189" s="66">
        <f t="shared" ref="AD189:AD223" si="1039">AA189-Y189</f>
        <v>413790.716</v>
      </c>
      <c r="AE189" s="67">
        <f t="shared" ref="AE189:AE223" si="1040">IFERROR(AD189/ABS(AA189),0)</f>
        <v>0.7784855202</v>
      </c>
      <c r="AF189" s="66">
        <f t="shared" ref="AF189:AF223" si="1041">AB189-Y189</f>
        <v>-117742.248</v>
      </c>
      <c r="AG189" s="67">
        <f t="shared" ref="AG189:AG223" si="1042">IFERROR(AF189/ABS(AB189),0)</f>
        <v>0</v>
      </c>
      <c r="AH189" s="126"/>
      <c r="AI189" s="47" t="str">
        <f t="shared" ref="AI189:AI197" si="1043">IFERROR(IF(AI$3="A",CM189,IF(AI$3="F",DA189)),0)</f>
        <v/>
      </c>
      <c r="AJ189" s="47" t="str">
        <f t="shared" ref="AJ189:AT189" si="1016">IFERROR(IF(AJ$3="A",CN189,IF(AJ$3="F",DB189,IF(AJ$3="B",BL189,0))),"")</f>
        <v/>
      </c>
      <c r="AK189" s="47" t="str">
        <f t="shared" si="1016"/>
        <v/>
      </c>
      <c r="AL189" s="47" t="str">
        <f t="shared" si="1016"/>
        <v/>
      </c>
      <c r="AM189" s="47" t="str">
        <f t="shared" si="1016"/>
        <v/>
      </c>
      <c r="AN189" s="47" t="str">
        <f t="shared" si="1016"/>
        <v/>
      </c>
      <c r="AO189" s="47" t="str">
        <f t="shared" si="1016"/>
        <v/>
      </c>
      <c r="AP189" s="47" t="str">
        <f t="shared" si="1016"/>
        <v/>
      </c>
      <c r="AQ189" s="47" t="str">
        <f t="shared" si="1016"/>
        <v/>
      </c>
      <c r="AR189" s="47">
        <f t="shared" si="1016"/>
        <v>56428.758</v>
      </c>
      <c r="AS189" s="47">
        <f t="shared" si="1016"/>
        <v>26403.613</v>
      </c>
      <c r="AT189" s="47">
        <f t="shared" si="1016"/>
        <v>34909.877</v>
      </c>
      <c r="AU189" s="65">
        <f t="shared" ref="AU189:AU222" si="1045">SUM(AI189:AT189)</f>
        <v>117742.248</v>
      </c>
      <c r="AV189" s="127"/>
      <c r="AW189" s="47" t="str">
        <f t="shared" ref="AW189:BH189" si="1017">IFERROR(IF(AW$3="A",CM189,IF(AW$3="B",BK189)),0)</f>
        <v/>
      </c>
      <c r="AX189" s="47" t="str">
        <f t="shared" si="1017"/>
        <v/>
      </c>
      <c r="AY189" s="47" t="str">
        <f t="shared" si="1017"/>
        <v/>
      </c>
      <c r="AZ189" s="47" t="str">
        <f t="shared" si="1017"/>
        <v/>
      </c>
      <c r="BA189" s="47" t="str">
        <f t="shared" si="1017"/>
        <v/>
      </c>
      <c r="BB189" s="47" t="str">
        <f t="shared" si="1017"/>
        <v/>
      </c>
      <c r="BC189" s="47">
        <f t="shared" si="1017"/>
        <v>75686.313</v>
      </c>
      <c r="BD189" s="47">
        <f t="shared" si="1017"/>
        <v>74286.7</v>
      </c>
      <c r="BE189" s="47">
        <f t="shared" si="1017"/>
        <v>56566.002</v>
      </c>
      <c r="BF189" s="47">
        <f t="shared" si="1017"/>
        <v>56428.758</v>
      </c>
      <c r="BG189" s="47">
        <f t="shared" si="1017"/>
        <v>26403.613</v>
      </c>
      <c r="BH189" s="47">
        <f t="shared" si="1017"/>
        <v>34909.877</v>
      </c>
      <c r="BI189" s="65">
        <f t="shared" ref="BI189:BI222" si="1047">SUM(AW189:BH189)</f>
        <v>324281.263</v>
      </c>
      <c r="BJ189" s="126"/>
      <c r="BK189" s="128">
        <v>44676.344</v>
      </c>
      <c r="BL189" s="128">
        <v>39540.087</v>
      </c>
      <c r="BM189" s="128">
        <v>25820.083</v>
      </c>
      <c r="BN189" s="128">
        <v>22076.25</v>
      </c>
      <c r="BO189" s="128">
        <v>29522.1</v>
      </c>
      <c r="BP189" s="128">
        <v>45616.837</v>
      </c>
      <c r="BQ189" s="128">
        <v>75686.313</v>
      </c>
      <c r="BR189" s="128">
        <v>74286.7</v>
      </c>
      <c r="BS189" s="128">
        <v>56566.002</v>
      </c>
      <c r="BT189" s="128">
        <v>56428.758</v>
      </c>
      <c r="BU189" s="128">
        <v>26403.613</v>
      </c>
      <c r="BV189" s="128">
        <v>34909.877</v>
      </c>
      <c r="BW189" s="129">
        <v>531532.964</v>
      </c>
      <c r="BX189" s="1"/>
      <c r="BY189" s="47"/>
      <c r="BZ189" s="47"/>
      <c r="CA189" s="47"/>
      <c r="CB189" s="47"/>
      <c r="CC189" s="47"/>
      <c r="CD189" s="47"/>
      <c r="CE189" s="47"/>
      <c r="CF189" s="47"/>
      <c r="CG189" s="47"/>
      <c r="CH189" s="47"/>
      <c r="CI189" s="47"/>
      <c r="CJ189" s="47"/>
      <c r="CK189" s="65"/>
      <c r="CL189" s="47"/>
      <c r="CM189" s="47"/>
      <c r="CN189" s="47"/>
      <c r="CO189" s="47"/>
      <c r="CP189" s="47"/>
      <c r="CQ189" s="47"/>
      <c r="CR189" s="47"/>
      <c r="CS189" s="47"/>
      <c r="CT189" s="47"/>
      <c r="CU189" s="47"/>
      <c r="CV189" s="47"/>
      <c r="CW189" s="47"/>
      <c r="CX189" s="47"/>
      <c r="CY189" s="65"/>
      <c r="CZ189" s="11"/>
      <c r="DA189" s="47">
        <f t="shared" ref="DA189:DA197" si="1048">BK189</f>
        <v>44676.344</v>
      </c>
      <c r="DB189" s="47"/>
      <c r="DC189" s="47"/>
      <c r="DD189" s="47"/>
      <c r="DE189" s="47"/>
      <c r="DF189" s="47"/>
      <c r="DG189" s="47"/>
      <c r="DH189" s="47"/>
      <c r="DI189" s="47"/>
      <c r="DJ189" s="47"/>
      <c r="DK189" s="47"/>
      <c r="DL189" s="47"/>
      <c r="DM189" s="65">
        <f t="shared" ref="DM189:DM222" si="1049">SUM(DA189:DL189)</f>
        <v>44676.344</v>
      </c>
      <c r="DN189" s="1"/>
      <c r="DO189" s="130"/>
      <c r="DP189" s="130"/>
      <c r="DQ189" s="131"/>
    </row>
    <row r="190" outlineLevel="1">
      <c r="A190" s="15"/>
      <c r="B190" s="227" t="s">
        <v>178</v>
      </c>
      <c r="C190" s="15"/>
      <c r="D190" s="225">
        <f t="shared" si="1018"/>
        <v>0</v>
      </c>
      <c r="E190" s="225">
        <f t="shared" si="1019"/>
        <v>0</v>
      </c>
      <c r="F190" s="225">
        <f t="shared" si="1020"/>
        <v>480.7</v>
      </c>
      <c r="G190" s="225">
        <f t="shared" si="1021"/>
        <v>0</v>
      </c>
      <c r="H190" s="175"/>
      <c r="I190" s="176">
        <f t="shared" si="1022"/>
        <v>0</v>
      </c>
      <c r="J190" s="177">
        <f t="shared" si="1023"/>
        <v>0</v>
      </c>
      <c r="K190" s="176">
        <f t="shared" si="1024"/>
        <v>480.7</v>
      </c>
      <c r="L190" s="177">
        <f t="shared" si="1025"/>
        <v>1</v>
      </c>
      <c r="M190" s="176">
        <f t="shared" si="1026"/>
        <v>0</v>
      </c>
      <c r="N190" s="177">
        <f t="shared" si="1027"/>
        <v>0</v>
      </c>
      <c r="O190" s="175"/>
      <c r="P190" s="47">
        <f t="shared" si="1028"/>
        <v>0</v>
      </c>
      <c r="Q190" s="225">
        <f t="shared" si="1029"/>
        <v>2513.5</v>
      </c>
      <c r="R190" s="225">
        <f t="shared" si="1030"/>
        <v>0</v>
      </c>
      <c r="S190" s="48"/>
      <c r="T190" s="66">
        <f t="shared" si="1031"/>
        <v>2513.5</v>
      </c>
      <c r="U190" s="67">
        <f t="shared" si="1032"/>
        <v>1</v>
      </c>
      <c r="V190" s="66">
        <f t="shared" si="1033"/>
        <v>0</v>
      </c>
      <c r="W190" s="67">
        <f t="shared" si="1034"/>
        <v>0</v>
      </c>
      <c r="X190" s="48"/>
      <c r="Y190" s="47">
        <f t="shared" si="1035"/>
        <v>1155</v>
      </c>
      <c r="Z190" s="47">
        <f t="shared" si="1036"/>
        <v>7613.1</v>
      </c>
      <c r="AA190" s="225">
        <f t="shared" si="1037"/>
        <v>10126.6</v>
      </c>
      <c r="AB190" s="95" t="str">
        <f t="shared" si="1038"/>
        <v/>
      </c>
      <c r="AC190" s="17"/>
      <c r="AD190" s="66">
        <f t="shared" si="1039"/>
        <v>8971.6</v>
      </c>
      <c r="AE190" s="67">
        <f t="shared" si="1040"/>
        <v>0.8859439496</v>
      </c>
      <c r="AF190" s="66">
        <f t="shared" si="1041"/>
        <v>-1155</v>
      </c>
      <c r="AG190" s="67">
        <f t="shared" si="1042"/>
        <v>0</v>
      </c>
      <c r="AH190" s="117"/>
      <c r="AI190" s="47" t="str">
        <f t="shared" si="1043"/>
        <v/>
      </c>
      <c r="AJ190" s="47" t="str">
        <f t="shared" ref="AJ190:AT190" si="1044">IFERROR(IF(AJ$3="A",CN190,IF(AJ$3="F",DB190,IF(AJ$3="B",BL190,0))),"")</f>
        <v/>
      </c>
      <c r="AK190" s="47" t="str">
        <f t="shared" si="1044"/>
        <v/>
      </c>
      <c r="AL190" s="47" t="str">
        <f t="shared" si="1044"/>
        <v/>
      </c>
      <c r="AM190" s="47" t="str">
        <f t="shared" si="1044"/>
        <v/>
      </c>
      <c r="AN190" s="47" t="str">
        <f t="shared" si="1044"/>
        <v/>
      </c>
      <c r="AO190" s="47" t="str">
        <f t="shared" si="1044"/>
        <v/>
      </c>
      <c r="AP190" s="47" t="str">
        <f t="shared" si="1044"/>
        <v/>
      </c>
      <c r="AQ190" s="47" t="str">
        <f t="shared" si="1044"/>
        <v/>
      </c>
      <c r="AR190" s="47">
        <f t="shared" si="1044"/>
        <v>385</v>
      </c>
      <c r="AS190" s="47">
        <f t="shared" si="1044"/>
        <v>385</v>
      </c>
      <c r="AT190" s="47">
        <f t="shared" si="1044"/>
        <v>385</v>
      </c>
      <c r="AU190" s="65">
        <f t="shared" si="1045"/>
        <v>1155</v>
      </c>
      <c r="AV190" s="11"/>
      <c r="AW190" s="47" t="str">
        <f t="shared" ref="AW190:BH190" si="1046">IFERROR(IF(AW$3="A",CM190,IF(AW$3="B",BK190)),0)</f>
        <v/>
      </c>
      <c r="AX190" s="47" t="str">
        <f t="shared" si="1046"/>
        <v/>
      </c>
      <c r="AY190" s="47" t="str">
        <f t="shared" si="1046"/>
        <v/>
      </c>
      <c r="AZ190" s="47" t="str">
        <f t="shared" si="1046"/>
        <v/>
      </c>
      <c r="BA190" s="47" t="str">
        <f t="shared" si="1046"/>
        <v/>
      </c>
      <c r="BB190" s="47" t="str">
        <f t="shared" si="1046"/>
        <v/>
      </c>
      <c r="BC190" s="47">
        <f t="shared" si="1046"/>
        <v>4874.1</v>
      </c>
      <c r="BD190" s="47">
        <f t="shared" si="1046"/>
        <v>484</v>
      </c>
      <c r="BE190" s="47">
        <f t="shared" si="1046"/>
        <v>1100</v>
      </c>
      <c r="BF190" s="47">
        <f t="shared" si="1046"/>
        <v>385</v>
      </c>
      <c r="BG190" s="47">
        <f t="shared" si="1046"/>
        <v>385</v>
      </c>
      <c r="BH190" s="47">
        <f t="shared" si="1046"/>
        <v>385</v>
      </c>
      <c r="BI190" s="65">
        <f t="shared" si="1047"/>
        <v>7613.1</v>
      </c>
      <c r="BJ190" s="117"/>
      <c r="BK190" s="128">
        <v>161.7</v>
      </c>
      <c r="BL190" s="128">
        <v>320.1</v>
      </c>
      <c r="BM190" s="128">
        <v>16.5</v>
      </c>
      <c r="BN190" s="128">
        <v>1206.7</v>
      </c>
      <c r="BO190" s="128">
        <v>327.8</v>
      </c>
      <c r="BP190" s="128">
        <v>480.7</v>
      </c>
      <c r="BQ190" s="128">
        <v>4874.1</v>
      </c>
      <c r="BR190" s="128">
        <v>484.0</v>
      </c>
      <c r="BS190" s="128">
        <v>1100.0</v>
      </c>
      <c r="BT190" s="128">
        <v>385.0</v>
      </c>
      <c r="BU190" s="128">
        <v>385.0</v>
      </c>
      <c r="BV190" s="128">
        <v>385.0</v>
      </c>
      <c r="BW190" s="129">
        <v>10126.6</v>
      </c>
      <c r="BX190" s="1"/>
      <c r="BY190" s="47"/>
      <c r="BZ190" s="47"/>
      <c r="CA190" s="47"/>
      <c r="CB190" s="47"/>
      <c r="CC190" s="47"/>
      <c r="CD190" s="47"/>
      <c r="CE190" s="47"/>
      <c r="CF190" s="47"/>
      <c r="CG190" s="47"/>
      <c r="CH190" s="47"/>
      <c r="CI190" s="47"/>
      <c r="CJ190" s="47"/>
      <c r="CK190" s="65"/>
      <c r="CL190" s="47"/>
      <c r="CM190" s="47"/>
      <c r="CN190" s="47"/>
      <c r="CO190" s="47"/>
      <c r="CP190" s="47"/>
      <c r="CQ190" s="47"/>
      <c r="CR190" s="47"/>
      <c r="CS190" s="47"/>
      <c r="CT190" s="47"/>
      <c r="CU190" s="47"/>
      <c r="CV190" s="47"/>
      <c r="CW190" s="47"/>
      <c r="CX190" s="47"/>
      <c r="CY190" s="65"/>
      <c r="CZ190" s="11"/>
      <c r="DA190" s="47">
        <f t="shared" si="1048"/>
        <v>161.7</v>
      </c>
      <c r="DB190" s="47"/>
      <c r="DC190" s="47"/>
      <c r="DD190" s="47"/>
      <c r="DE190" s="47"/>
      <c r="DF190" s="47"/>
      <c r="DG190" s="47"/>
      <c r="DH190" s="47"/>
      <c r="DI190" s="47"/>
      <c r="DJ190" s="47"/>
      <c r="DK190" s="47"/>
      <c r="DL190" s="47"/>
      <c r="DM190" s="65">
        <f t="shared" si="1049"/>
        <v>161.7</v>
      </c>
      <c r="DN190" s="1"/>
      <c r="DO190" s="130"/>
      <c r="DP190" s="130"/>
      <c r="DQ190" s="131"/>
    </row>
    <row r="191" outlineLevel="1">
      <c r="A191" s="15"/>
      <c r="B191" s="1" t="s">
        <v>179</v>
      </c>
      <c r="C191" s="15"/>
      <c r="D191" s="225">
        <f t="shared" si="1018"/>
        <v>0</v>
      </c>
      <c r="E191" s="225">
        <f t="shared" si="1019"/>
        <v>0</v>
      </c>
      <c r="F191" s="225">
        <f t="shared" si="1020"/>
        <v>0</v>
      </c>
      <c r="G191" s="225">
        <f t="shared" si="1021"/>
        <v>0</v>
      </c>
      <c r="H191" s="175"/>
      <c r="I191" s="176">
        <f t="shared" si="1022"/>
        <v>0</v>
      </c>
      <c r="J191" s="177">
        <f t="shared" si="1023"/>
        <v>0</v>
      </c>
      <c r="K191" s="176">
        <f t="shared" si="1024"/>
        <v>0</v>
      </c>
      <c r="L191" s="177">
        <f t="shared" si="1025"/>
        <v>0</v>
      </c>
      <c r="M191" s="176">
        <f t="shared" si="1026"/>
        <v>0</v>
      </c>
      <c r="N191" s="177">
        <f t="shared" si="1027"/>
        <v>0</v>
      </c>
      <c r="O191" s="175"/>
      <c r="P191" s="47">
        <f t="shared" si="1028"/>
        <v>0</v>
      </c>
      <c r="Q191" s="225">
        <f t="shared" si="1029"/>
        <v>0</v>
      </c>
      <c r="R191" s="225">
        <f t="shared" si="1030"/>
        <v>0</v>
      </c>
      <c r="S191" s="48"/>
      <c r="T191" s="66">
        <f t="shared" si="1031"/>
        <v>0</v>
      </c>
      <c r="U191" s="67">
        <f t="shared" si="1032"/>
        <v>0</v>
      </c>
      <c r="V191" s="66">
        <f t="shared" si="1033"/>
        <v>0</v>
      </c>
      <c r="W191" s="67">
        <f t="shared" si="1034"/>
        <v>0</v>
      </c>
      <c r="X191" s="48"/>
      <c r="Y191" s="47">
        <f t="shared" si="1035"/>
        <v>0</v>
      </c>
      <c r="Z191" s="47">
        <f t="shared" si="1036"/>
        <v>0</v>
      </c>
      <c r="AA191" s="225">
        <f t="shared" si="1037"/>
        <v>0</v>
      </c>
      <c r="AB191" s="95" t="str">
        <f t="shared" si="1038"/>
        <v/>
      </c>
      <c r="AC191" s="17"/>
      <c r="AD191" s="66">
        <f t="shared" si="1039"/>
        <v>0</v>
      </c>
      <c r="AE191" s="67">
        <f t="shared" si="1040"/>
        <v>0</v>
      </c>
      <c r="AF191" s="66">
        <f t="shared" si="1041"/>
        <v>0</v>
      </c>
      <c r="AG191" s="67">
        <f t="shared" si="1042"/>
        <v>0</v>
      </c>
      <c r="AH191" s="117"/>
      <c r="AI191" s="47" t="str">
        <f t="shared" si="1043"/>
        <v/>
      </c>
      <c r="AJ191" s="47" t="str">
        <f t="shared" ref="AJ191:AT191" si="1050">IFERROR(IF(AJ$3="A",CN191,IF(AJ$3="F",DB191,IF(AJ$3="B",BL191,0))),"")</f>
        <v/>
      </c>
      <c r="AK191" s="47" t="str">
        <f t="shared" si="1050"/>
        <v/>
      </c>
      <c r="AL191" s="47" t="str">
        <f t="shared" si="1050"/>
        <v/>
      </c>
      <c r="AM191" s="47" t="str">
        <f t="shared" si="1050"/>
        <v/>
      </c>
      <c r="AN191" s="47" t="str">
        <f t="shared" si="1050"/>
        <v/>
      </c>
      <c r="AO191" s="47" t="str">
        <f t="shared" si="1050"/>
        <v/>
      </c>
      <c r="AP191" s="47" t="str">
        <f t="shared" si="1050"/>
        <v/>
      </c>
      <c r="AQ191" s="47" t="str">
        <f t="shared" si="1050"/>
        <v/>
      </c>
      <c r="AR191" s="47" t="str">
        <f t="shared" si="1050"/>
        <v/>
      </c>
      <c r="AS191" s="47" t="str">
        <f t="shared" si="1050"/>
        <v/>
      </c>
      <c r="AT191" s="47" t="str">
        <f t="shared" si="1050"/>
        <v/>
      </c>
      <c r="AU191" s="65">
        <f t="shared" si="1045"/>
        <v>0</v>
      </c>
      <c r="AV191" s="11"/>
      <c r="AW191" s="47" t="str">
        <f t="shared" ref="AW191:BH191" si="1051">IFERROR(IF(AW$3="A",CM191,IF(AW$3="B",BK191)),0)</f>
        <v/>
      </c>
      <c r="AX191" s="47" t="str">
        <f t="shared" si="1051"/>
        <v/>
      </c>
      <c r="AY191" s="47" t="str">
        <f t="shared" si="1051"/>
        <v/>
      </c>
      <c r="AZ191" s="47" t="str">
        <f t="shared" si="1051"/>
        <v/>
      </c>
      <c r="BA191" s="47" t="str">
        <f t="shared" si="1051"/>
        <v/>
      </c>
      <c r="BB191" s="47" t="str">
        <f t="shared" si="1051"/>
        <v/>
      </c>
      <c r="BC191" s="47" t="str">
        <f t="shared" si="1051"/>
        <v/>
      </c>
      <c r="BD191" s="47" t="str">
        <f t="shared" si="1051"/>
        <v/>
      </c>
      <c r="BE191" s="47" t="str">
        <f t="shared" si="1051"/>
        <v/>
      </c>
      <c r="BF191" s="47" t="str">
        <f t="shared" si="1051"/>
        <v/>
      </c>
      <c r="BG191" s="47" t="str">
        <f t="shared" si="1051"/>
        <v/>
      </c>
      <c r="BH191" s="47" t="str">
        <f t="shared" si="1051"/>
        <v/>
      </c>
      <c r="BI191" s="65">
        <f t="shared" si="1047"/>
        <v>0</v>
      </c>
      <c r="BJ191" s="117"/>
      <c r="BK191" s="47"/>
      <c r="BL191" s="47"/>
      <c r="BM191" s="47"/>
      <c r="BN191" s="47"/>
      <c r="BO191" s="47"/>
      <c r="BP191" s="47"/>
      <c r="BQ191" s="47"/>
      <c r="BR191" s="47"/>
      <c r="BS191" s="47"/>
      <c r="BT191" s="47"/>
      <c r="BU191" s="47"/>
      <c r="BV191" s="47"/>
      <c r="BW191" s="129">
        <v>0.0</v>
      </c>
      <c r="BX191" s="1"/>
      <c r="BY191" s="47"/>
      <c r="BZ191" s="47"/>
      <c r="CA191" s="47"/>
      <c r="CB191" s="47"/>
      <c r="CC191" s="47"/>
      <c r="CD191" s="47"/>
      <c r="CE191" s="47"/>
      <c r="CF191" s="47"/>
      <c r="CG191" s="47"/>
      <c r="CH191" s="47"/>
      <c r="CI191" s="47"/>
      <c r="CJ191" s="47"/>
      <c r="CK191" s="65"/>
      <c r="CL191" s="47"/>
      <c r="CM191" s="47"/>
      <c r="CN191" s="47"/>
      <c r="CO191" s="47"/>
      <c r="CP191" s="47"/>
      <c r="CQ191" s="47"/>
      <c r="CR191" s="47"/>
      <c r="CS191" s="47"/>
      <c r="CT191" s="47"/>
      <c r="CU191" s="47"/>
      <c r="CV191" s="47"/>
      <c r="CW191" s="47"/>
      <c r="CX191" s="47"/>
      <c r="CY191" s="65"/>
      <c r="CZ191" s="11"/>
      <c r="DA191" s="95" t="str">
        <f t="shared" si="1048"/>
        <v/>
      </c>
      <c r="DB191" s="95"/>
      <c r="DC191" s="95"/>
      <c r="DD191" s="95"/>
      <c r="DE191" s="95"/>
      <c r="DF191" s="95"/>
      <c r="DG191" s="95"/>
      <c r="DH191" s="95"/>
      <c r="DI191" s="95"/>
      <c r="DJ191" s="95"/>
      <c r="DK191" s="95"/>
      <c r="DL191" s="95"/>
      <c r="DM191" s="65">
        <f t="shared" si="1049"/>
        <v>0</v>
      </c>
      <c r="DN191" s="1"/>
      <c r="DO191" s="130"/>
      <c r="DP191" s="130"/>
      <c r="DQ191" s="131"/>
    </row>
    <row r="192" outlineLevel="1">
      <c r="A192" s="15"/>
      <c r="B192" s="1" t="s">
        <v>180</v>
      </c>
      <c r="C192" s="15"/>
      <c r="D192" s="225">
        <f t="shared" si="1018"/>
        <v>0</v>
      </c>
      <c r="E192" s="225">
        <f t="shared" si="1019"/>
        <v>0</v>
      </c>
      <c r="F192" s="225">
        <f t="shared" si="1020"/>
        <v>100</v>
      </c>
      <c r="G192" s="225">
        <f t="shared" si="1021"/>
        <v>0</v>
      </c>
      <c r="H192" s="175"/>
      <c r="I192" s="176">
        <f t="shared" si="1022"/>
        <v>0</v>
      </c>
      <c r="J192" s="177">
        <f t="shared" si="1023"/>
        <v>0</v>
      </c>
      <c r="K192" s="176">
        <f t="shared" si="1024"/>
        <v>100</v>
      </c>
      <c r="L192" s="177">
        <f t="shared" si="1025"/>
        <v>1</v>
      </c>
      <c r="M192" s="176">
        <f t="shared" si="1026"/>
        <v>0</v>
      </c>
      <c r="N192" s="177">
        <f t="shared" si="1027"/>
        <v>0</v>
      </c>
      <c r="O192" s="175"/>
      <c r="P192" s="47">
        <f t="shared" si="1028"/>
        <v>0</v>
      </c>
      <c r="Q192" s="225">
        <f t="shared" si="1029"/>
        <v>2326</v>
      </c>
      <c r="R192" s="225">
        <f t="shared" si="1030"/>
        <v>0</v>
      </c>
      <c r="S192" s="48"/>
      <c r="T192" s="66">
        <f t="shared" si="1031"/>
        <v>2326</v>
      </c>
      <c r="U192" s="67">
        <f t="shared" si="1032"/>
        <v>1</v>
      </c>
      <c r="V192" s="66">
        <f t="shared" si="1033"/>
        <v>0</v>
      </c>
      <c r="W192" s="67">
        <f t="shared" si="1034"/>
        <v>0</v>
      </c>
      <c r="X192" s="48"/>
      <c r="Y192" s="47">
        <f t="shared" si="1035"/>
        <v>1163</v>
      </c>
      <c r="Z192" s="47">
        <f t="shared" si="1036"/>
        <v>2326</v>
      </c>
      <c r="AA192" s="225">
        <f t="shared" si="1037"/>
        <v>4652</v>
      </c>
      <c r="AB192" s="95" t="str">
        <f t="shared" si="1038"/>
        <v/>
      </c>
      <c r="AC192" s="17"/>
      <c r="AD192" s="66">
        <f t="shared" si="1039"/>
        <v>3489</v>
      </c>
      <c r="AE192" s="67">
        <f t="shared" si="1040"/>
        <v>0.75</v>
      </c>
      <c r="AF192" s="66">
        <f t="shared" si="1041"/>
        <v>-1163</v>
      </c>
      <c r="AG192" s="67">
        <f t="shared" si="1042"/>
        <v>0</v>
      </c>
      <c r="AH192" s="117"/>
      <c r="AI192" s="47" t="str">
        <f t="shared" si="1043"/>
        <v/>
      </c>
      <c r="AJ192" s="47" t="str">
        <f t="shared" ref="AJ192:AT192" si="1052">IFERROR(IF(AJ$3="A",CN192,IF(AJ$3="F",DB192,IF(AJ$3="B",BL192,0))),"")</f>
        <v/>
      </c>
      <c r="AK192" s="47" t="str">
        <f t="shared" si="1052"/>
        <v/>
      </c>
      <c r="AL192" s="47" t="str">
        <f t="shared" si="1052"/>
        <v/>
      </c>
      <c r="AM192" s="47" t="str">
        <f t="shared" si="1052"/>
        <v/>
      </c>
      <c r="AN192" s="47" t="str">
        <f t="shared" si="1052"/>
        <v/>
      </c>
      <c r="AO192" s="47" t="str">
        <f t="shared" si="1052"/>
        <v/>
      </c>
      <c r="AP192" s="47" t="str">
        <f t="shared" si="1052"/>
        <v/>
      </c>
      <c r="AQ192" s="47" t="str">
        <f t="shared" si="1052"/>
        <v/>
      </c>
      <c r="AR192" s="47">
        <f t="shared" si="1052"/>
        <v>100</v>
      </c>
      <c r="AS192" s="47">
        <f t="shared" si="1052"/>
        <v>963</v>
      </c>
      <c r="AT192" s="47">
        <f t="shared" si="1052"/>
        <v>100</v>
      </c>
      <c r="AU192" s="65">
        <f t="shared" si="1045"/>
        <v>1163</v>
      </c>
      <c r="AV192" s="11"/>
      <c r="AW192" s="47" t="str">
        <f t="shared" ref="AW192:BH192" si="1053">IFERROR(IF(AW$3="A",CM192,IF(AW$3="B",BK192)),0)</f>
        <v/>
      </c>
      <c r="AX192" s="47" t="str">
        <f t="shared" si="1053"/>
        <v/>
      </c>
      <c r="AY192" s="47" t="str">
        <f t="shared" si="1053"/>
        <v/>
      </c>
      <c r="AZ192" s="47" t="str">
        <f t="shared" si="1053"/>
        <v/>
      </c>
      <c r="BA192" s="47" t="str">
        <f t="shared" si="1053"/>
        <v/>
      </c>
      <c r="BB192" s="47" t="str">
        <f t="shared" si="1053"/>
        <v/>
      </c>
      <c r="BC192" s="47">
        <f t="shared" si="1053"/>
        <v>963</v>
      </c>
      <c r="BD192" s="47">
        <f t="shared" si="1053"/>
        <v>100</v>
      </c>
      <c r="BE192" s="47">
        <f t="shared" si="1053"/>
        <v>100</v>
      </c>
      <c r="BF192" s="47">
        <f t="shared" si="1053"/>
        <v>100</v>
      </c>
      <c r="BG192" s="47">
        <f t="shared" si="1053"/>
        <v>963</v>
      </c>
      <c r="BH192" s="47">
        <f t="shared" si="1053"/>
        <v>100</v>
      </c>
      <c r="BI192" s="65">
        <f t="shared" si="1047"/>
        <v>2326</v>
      </c>
      <c r="BJ192" s="117"/>
      <c r="BK192" s="128">
        <v>963.0</v>
      </c>
      <c r="BL192" s="128">
        <v>100.0</v>
      </c>
      <c r="BM192" s="128">
        <v>100.0</v>
      </c>
      <c r="BN192" s="128">
        <v>963.0</v>
      </c>
      <c r="BO192" s="128">
        <v>100.0</v>
      </c>
      <c r="BP192" s="128">
        <v>100.0</v>
      </c>
      <c r="BQ192" s="128">
        <v>963.0</v>
      </c>
      <c r="BR192" s="128">
        <v>100.0</v>
      </c>
      <c r="BS192" s="128">
        <v>100.0</v>
      </c>
      <c r="BT192" s="128">
        <v>100.0</v>
      </c>
      <c r="BU192" s="128">
        <v>963.0</v>
      </c>
      <c r="BV192" s="128">
        <v>100.0</v>
      </c>
      <c r="BW192" s="129">
        <v>4652.0</v>
      </c>
      <c r="BX192" s="1"/>
      <c r="BY192" s="47"/>
      <c r="BZ192" s="47"/>
      <c r="CA192" s="47"/>
      <c r="CB192" s="47"/>
      <c r="CC192" s="47"/>
      <c r="CD192" s="47"/>
      <c r="CE192" s="47"/>
      <c r="CF192" s="47"/>
      <c r="CG192" s="47"/>
      <c r="CH192" s="47"/>
      <c r="CI192" s="47"/>
      <c r="CJ192" s="47"/>
      <c r="CK192" s="65"/>
      <c r="CL192" s="47"/>
      <c r="CM192" s="47"/>
      <c r="CN192" s="47"/>
      <c r="CO192" s="47"/>
      <c r="CP192" s="47"/>
      <c r="CQ192" s="47"/>
      <c r="CR192" s="47"/>
      <c r="CS192" s="47"/>
      <c r="CT192" s="47"/>
      <c r="CU192" s="47"/>
      <c r="CV192" s="47"/>
      <c r="CW192" s="47"/>
      <c r="CX192" s="47"/>
      <c r="CY192" s="65"/>
      <c r="CZ192" s="11"/>
      <c r="DA192" s="47">
        <f t="shared" si="1048"/>
        <v>963</v>
      </c>
      <c r="DB192" s="47"/>
      <c r="DC192" s="47"/>
      <c r="DD192" s="47"/>
      <c r="DE192" s="47"/>
      <c r="DF192" s="47"/>
      <c r="DG192" s="47"/>
      <c r="DH192" s="47"/>
      <c r="DI192" s="47"/>
      <c r="DJ192" s="47"/>
      <c r="DK192" s="47"/>
      <c r="DL192" s="47"/>
      <c r="DM192" s="65">
        <f t="shared" si="1049"/>
        <v>963</v>
      </c>
      <c r="DN192" s="1"/>
      <c r="DO192" s="130"/>
      <c r="DP192" s="130"/>
      <c r="DQ192" s="131"/>
    </row>
    <row r="193" outlineLevel="1">
      <c r="A193" s="15"/>
      <c r="B193" s="227" t="s">
        <v>181</v>
      </c>
      <c r="C193" s="15"/>
      <c r="D193" s="225">
        <f t="shared" si="1018"/>
        <v>0</v>
      </c>
      <c r="E193" s="225">
        <f t="shared" si="1019"/>
        <v>0</v>
      </c>
      <c r="F193" s="225">
        <f t="shared" si="1020"/>
        <v>2740.5</v>
      </c>
      <c r="G193" s="225">
        <f t="shared" si="1021"/>
        <v>0</v>
      </c>
      <c r="H193" s="175"/>
      <c r="I193" s="176">
        <f t="shared" si="1022"/>
        <v>0</v>
      </c>
      <c r="J193" s="177">
        <f t="shared" si="1023"/>
        <v>0</v>
      </c>
      <c r="K193" s="176">
        <f t="shared" si="1024"/>
        <v>2740.5</v>
      </c>
      <c r="L193" s="177">
        <f t="shared" si="1025"/>
        <v>1</v>
      </c>
      <c r="M193" s="176">
        <f t="shared" si="1026"/>
        <v>0</v>
      </c>
      <c r="N193" s="177">
        <f t="shared" si="1027"/>
        <v>0</v>
      </c>
      <c r="O193" s="175"/>
      <c r="P193" s="47">
        <f t="shared" si="1028"/>
        <v>0</v>
      </c>
      <c r="Q193" s="225">
        <f t="shared" si="1029"/>
        <v>11511.15</v>
      </c>
      <c r="R193" s="225">
        <f t="shared" si="1030"/>
        <v>0</v>
      </c>
      <c r="S193" s="48"/>
      <c r="T193" s="66">
        <f t="shared" si="1031"/>
        <v>11511.15</v>
      </c>
      <c r="U193" s="67">
        <f t="shared" si="1032"/>
        <v>1</v>
      </c>
      <c r="V193" s="66">
        <f t="shared" si="1033"/>
        <v>0</v>
      </c>
      <c r="W193" s="67">
        <f t="shared" si="1034"/>
        <v>0</v>
      </c>
      <c r="X193" s="48"/>
      <c r="Y193" s="47">
        <f t="shared" si="1035"/>
        <v>7030.8</v>
      </c>
      <c r="Z193" s="47">
        <f t="shared" si="1036"/>
        <v>15862.35</v>
      </c>
      <c r="AA193" s="225">
        <f t="shared" si="1037"/>
        <v>27373.5</v>
      </c>
      <c r="AB193" s="95" t="str">
        <f t="shared" si="1038"/>
        <v/>
      </c>
      <c r="AC193" s="17"/>
      <c r="AD193" s="66">
        <f t="shared" si="1039"/>
        <v>20342.7</v>
      </c>
      <c r="AE193" s="67">
        <f t="shared" si="1040"/>
        <v>0.7431530495</v>
      </c>
      <c r="AF193" s="66">
        <f t="shared" si="1041"/>
        <v>-7030.8</v>
      </c>
      <c r="AG193" s="67">
        <f t="shared" si="1042"/>
        <v>0</v>
      </c>
      <c r="AH193" s="117"/>
      <c r="AI193" s="47" t="str">
        <f t="shared" si="1043"/>
        <v/>
      </c>
      <c r="AJ193" s="47" t="str">
        <f t="shared" ref="AJ193:AT193" si="1054">IFERROR(IF(AJ$3="A",CN193,IF(AJ$3="F",DB193,IF(AJ$3="B",BL193,0))),"")</f>
        <v/>
      </c>
      <c r="AK193" s="47" t="str">
        <f t="shared" si="1054"/>
        <v/>
      </c>
      <c r="AL193" s="47" t="str">
        <f t="shared" si="1054"/>
        <v/>
      </c>
      <c r="AM193" s="47" t="str">
        <f t="shared" si="1054"/>
        <v/>
      </c>
      <c r="AN193" s="47" t="str">
        <f t="shared" si="1054"/>
        <v/>
      </c>
      <c r="AO193" s="47" t="str">
        <f t="shared" si="1054"/>
        <v/>
      </c>
      <c r="AP193" s="47" t="str">
        <f t="shared" si="1054"/>
        <v/>
      </c>
      <c r="AQ193" s="47" t="str">
        <f t="shared" si="1054"/>
        <v/>
      </c>
      <c r="AR193" s="47">
        <f t="shared" si="1054"/>
        <v>2343.6</v>
      </c>
      <c r="AS193" s="47">
        <f t="shared" si="1054"/>
        <v>2343.6</v>
      </c>
      <c r="AT193" s="47">
        <f t="shared" si="1054"/>
        <v>2343.6</v>
      </c>
      <c r="AU193" s="65">
        <f t="shared" si="1045"/>
        <v>7030.8</v>
      </c>
      <c r="AV193" s="11"/>
      <c r="AW193" s="47" t="str">
        <f t="shared" ref="AW193:BH193" si="1055">IFERROR(IF(AW$3="A",CM193,IF(AW$3="B",BK193)),0)</f>
        <v/>
      </c>
      <c r="AX193" s="47" t="str">
        <f t="shared" si="1055"/>
        <v/>
      </c>
      <c r="AY193" s="47" t="str">
        <f t="shared" si="1055"/>
        <v/>
      </c>
      <c r="AZ193" s="47" t="str">
        <f t="shared" si="1055"/>
        <v/>
      </c>
      <c r="BA193" s="47" t="str">
        <f t="shared" si="1055"/>
        <v/>
      </c>
      <c r="BB193" s="47" t="str">
        <f t="shared" si="1055"/>
        <v/>
      </c>
      <c r="BC193" s="47">
        <f t="shared" si="1055"/>
        <v>3433.5</v>
      </c>
      <c r="BD193" s="47">
        <f t="shared" si="1055"/>
        <v>3054.45</v>
      </c>
      <c r="BE193" s="47">
        <f t="shared" si="1055"/>
        <v>2343.6</v>
      </c>
      <c r="BF193" s="47">
        <f t="shared" si="1055"/>
        <v>2343.6</v>
      </c>
      <c r="BG193" s="47">
        <f t="shared" si="1055"/>
        <v>2343.6</v>
      </c>
      <c r="BH193" s="47">
        <f t="shared" si="1055"/>
        <v>2343.6</v>
      </c>
      <c r="BI193" s="65">
        <f t="shared" si="1047"/>
        <v>15862.35</v>
      </c>
      <c r="BJ193" s="117"/>
      <c r="BK193" s="128">
        <v>1545.6</v>
      </c>
      <c r="BL193" s="128">
        <v>1590.75</v>
      </c>
      <c r="BM193" s="128">
        <v>2085.3</v>
      </c>
      <c r="BN193" s="128">
        <v>1951.95</v>
      </c>
      <c r="BO193" s="128">
        <v>1597.05</v>
      </c>
      <c r="BP193" s="128">
        <v>2740.5</v>
      </c>
      <c r="BQ193" s="128">
        <v>3433.5</v>
      </c>
      <c r="BR193" s="128">
        <v>3054.45</v>
      </c>
      <c r="BS193" s="128">
        <v>2343.6</v>
      </c>
      <c r="BT193" s="128">
        <v>2343.6</v>
      </c>
      <c r="BU193" s="128">
        <v>2343.6</v>
      </c>
      <c r="BV193" s="128">
        <v>2343.6</v>
      </c>
      <c r="BW193" s="129">
        <v>27373.5</v>
      </c>
      <c r="BX193" s="1"/>
      <c r="BY193" s="47"/>
      <c r="BZ193" s="47"/>
      <c r="CA193" s="47"/>
      <c r="CB193" s="47"/>
      <c r="CC193" s="47"/>
      <c r="CD193" s="47"/>
      <c r="CE193" s="47"/>
      <c r="CF193" s="47"/>
      <c r="CG193" s="47"/>
      <c r="CH193" s="47"/>
      <c r="CI193" s="47"/>
      <c r="CJ193" s="47"/>
      <c r="CK193" s="65"/>
      <c r="CL193" s="47"/>
      <c r="CM193" s="47"/>
      <c r="CN193" s="47"/>
      <c r="CO193" s="47"/>
      <c r="CP193" s="47"/>
      <c r="CQ193" s="47"/>
      <c r="CR193" s="47"/>
      <c r="CS193" s="47"/>
      <c r="CT193" s="47"/>
      <c r="CU193" s="47"/>
      <c r="CV193" s="47"/>
      <c r="CW193" s="47"/>
      <c r="CX193" s="47"/>
      <c r="CY193" s="65"/>
      <c r="CZ193" s="11"/>
      <c r="DA193" s="47">
        <f t="shared" si="1048"/>
        <v>1545.6</v>
      </c>
      <c r="DB193" s="47"/>
      <c r="DC193" s="47"/>
      <c r="DD193" s="47"/>
      <c r="DE193" s="47"/>
      <c r="DF193" s="47"/>
      <c r="DG193" s="47"/>
      <c r="DH193" s="47"/>
      <c r="DI193" s="47"/>
      <c r="DJ193" s="47"/>
      <c r="DK193" s="47"/>
      <c r="DL193" s="47"/>
      <c r="DM193" s="65">
        <f t="shared" si="1049"/>
        <v>1545.6</v>
      </c>
      <c r="DN193" s="1"/>
      <c r="DO193" s="130"/>
      <c r="DP193" s="130"/>
      <c r="DQ193" s="131"/>
    </row>
    <row r="194" outlineLevel="1">
      <c r="A194" s="15"/>
      <c r="B194" s="123" t="s">
        <v>182</v>
      </c>
      <c r="C194" s="124"/>
      <c r="D194" s="225">
        <f t="shared" si="1018"/>
        <v>0</v>
      </c>
      <c r="E194" s="225">
        <f t="shared" si="1019"/>
        <v>0</v>
      </c>
      <c r="F194" s="225">
        <f t="shared" si="1020"/>
        <v>0</v>
      </c>
      <c r="G194" s="225">
        <f t="shared" si="1021"/>
        <v>0</v>
      </c>
      <c r="H194" s="175"/>
      <c r="I194" s="176">
        <f t="shared" si="1022"/>
        <v>0</v>
      </c>
      <c r="J194" s="177">
        <f t="shared" si="1023"/>
        <v>0</v>
      </c>
      <c r="K194" s="176">
        <f t="shared" si="1024"/>
        <v>0</v>
      </c>
      <c r="L194" s="177">
        <f t="shared" si="1025"/>
        <v>0</v>
      </c>
      <c r="M194" s="176">
        <f t="shared" si="1026"/>
        <v>0</v>
      </c>
      <c r="N194" s="177">
        <f t="shared" si="1027"/>
        <v>0</v>
      </c>
      <c r="O194" s="175"/>
      <c r="P194" s="47">
        <f t="shared" si="1028"/>
        <v>0</v>
      </c>
      <c r="Q194" s="225">
        <f t="shared" si="1029"/>
        <v>0</v>
      </c>
      <c r="R194" s="225">
        <f t="shared" si="1030"/>
        <v>0</v>
      </c>
      <c r="S194" s="48"/>
      <c r="T194" s="66">
        <f t="shared" si="1031"/>
        <v>0</v>
      </c>
      <c r="U194" s="67">
        <f t="shared" si="1032"/>
        <v>0</v>
      </c>
      <c r="V194" s="66">
        <f t="shared" si="1033"/>
        <v>0</v>
      </c>
      <c r="W194" s="67">
        <f t="shared" si="1034"/>
        <v>0</v>
      </c>
      <c r="X194" s="48"/>
      <c r="Y194" s="47">
        <f t="shared" si="1035"/>
        <v>0</v>
      </c>
      <c r="Z194" s="47">
        <f t="shared" si="1036"/>
        <v>0</v>
      </c>
      <c r="AA194" s="225">
        <f t="shared" si="1037"/>
        <v>0</v>
      </c>
      <c r="AB194" s="95" t="str">
        <f t="shared" si="1038"/>
        <v/>
      </c>
      <c r="AC194" s="125"/>
      <c r="AD194" s="66">
        <f t="shared" si="1039"/>
        <v>0</v>
      </c>
      <c r="AE194" s="67">
        <f t="shared" si="1040"/>
        <v>0</v>
      </c>
      <c r="AF194" s="66">
        <f t="shared" si="1041"/>
        <v>0</v>
      </c>
      <c r="AG194" s="67">
        <f t="shared" si="1042"/>
        <v>0</v>
      </c>
      <c r="AH194" s="126"/>
      <c r="AI194" s="47" t="str">
        <f t="shared" si="1043"/>
        <v/>
      </c>
      <c r="AJ194" s="47" t="str">
        <f t="shared" ref="AJ194:AT194" si="1056">IFERROR(IF(AJ$3="A",CN194,IF(AJ$3="F",DB194,IF(AJ$3="B",BL194,0))),"")</f>
        <v/>
      </c>
      <c r="AK194" s="47" t="str">
        <f t="shared" si="1056"/>
        <v/>
      </c>
      <c r="AL194" s="47" t="str">
        <f t="shared" si="1056"/>
        <v/>
      </c>
      <c r="AM194" s="47" t="str">
        <f t="shared" si="1056"/>
        <v/>
      </c>
      <c r="AN194" s="47" t="str">
        <f t="shared" si="1056"/>
        <v/>
      </c>
      <c r="AO194" s="47" t="str">
        <f t="shared" si="1056"/>
        <v/>
      </c>
      <c r="AP194" s="47" t="str">
        <f t="shared" si="1056"/>
        <v/>
      </c>
      <c r="AQ194" s="47" t="str">
        <f t="shared" si="1056"/>
        <v/>
      </c>
      <c r="AR194" s="47" t="str">
        <f t="shared" si="1056"/>
        <v/>
      </c>
      <c r="AS194" s="47" t="str">
        <f t="shared" si="1056"/>
        <v/>
      </c>
      <c r="AT194" s="47" t="str">
        <f t="shared" si="1056"/>
        <v/>
      </c>
      <c r="AU194" s="65">
        <f t="shared" si="1045"/>
        <v>0</v>
      </c>
      <c r="AV194" s="127"/>
      <c r="AW194" s="47" t="str">
        <f t="shared" ref="AW194:BH194" si="1057">IFERROR(IF(AW$3="A",CM194,IF(AW$3="B",BK194)),0)</f>
        <v/>
      </c>
      <c r="AX194" s="47" t="str">
        <f t="shared" si="1057"/>
        <v/>
      </c>
      <c r="AY194" s="47" t="str">
        <f t="shared" si="1057"/>
        <v/>
      </c>
      <c r="AZ194" s="47" t="str">
        <f t="shared" si="1057"/>
        <v/>
      </c>
      <c r="BA194" s="47" t="str">
        <f t="shared" si="1057"/>
        <v/>
      </c>
      <c r="BB194" s="47" t="str">
        <f t="shared" si="1057"/>
        <v/>
      </c>
      <c r="BC194" s="47" t="str">
        <f t="shared" si="1057"/>
        <v/>
      </c>
      <c r="BD194" s="47" t="str">
        <f t="shared" si="1057"/>
        <v/>
      </c>
      <c r="BE194" s="47" t="str">
        <f t="shared" si="1057"/>
        <v/>
      </c>
      <c r="BF194" s="47" t="str">
        <f t="shared" si="1057"/>
        <v/>
      </c>
      <c r="BG194" s="47" t="str">
        <f t="shared" si="1057"/>
        <v/>
      </c>
      <c r="BH194" s="47" t="str">
        <f t="shared" si="1057"/>
        <v/>
      </c>
      <c r="BI194" s="65">
        <f t="shared" si="1047"/>
        <v>0</v>
      </c>
      <c r="BJ194" s="126"/>
      <c r="BK194" s="47"/>
      <c r="BL194" s="47"/>
      <c r="BM194" s="47"/>
      <c r="BN194" s="47"/>
      <c r="BO194" s="47"/>
      <c r="BP194" s="47"/>
      <c r="BQ194" s="47"/>
      <c r="BR194" s="47"/>
      <c r="BS194" s="47"/>
      <c r="BT194" s="47"/>
      <c r="BU194" s="47"/>
      <c r="BV194" s="47"/>
      <c r="BW194" s="129">
        <v>0.0</v>
      </c>
      <c r="BX194" s="1"/>
      <c r="BY194" s="47"/>
      <c r="BZ194" s="47"/>
      <c r="CA194" s="47"/>
      <c r="CB194" s="47"/>
      <c r="CC194" s="47"/>
      <c r="CD194" s="47"/>
      <c r="CE194" s="47"/>
      <c r="CF194" s="47"/>
      <c r="CG194" s="47"/>
      <c r="CH194" s="47"/>
      <c r="CI194" s="47"/>
      <c r="CJ194" s="47"/>
      <c r="CK194" s="65"/>
      <c r="CL194" s="47"/>
      <c r="CM194" s="47"/>
      <c r="CN194" s="47"/>
      <c r="CO194" s="47"/>
      <c r="CP194" s="47"/>
      <c r="CQ194" s="47"/>
      <c r="CR194" s="47"/>
      <c r="CS194" s="47"/>
      <c r="CT194" s="47"/>
      <c r="CU194" s="47"/>
      <c r="CV194" s="47"/>
      <c r="CW194" s="47"/>
      <c r="CX194" s="47"/>
      <c r="CY194" s="65"/>
      <c r="CZ194" s="11"/>
      <c r="DA194" s="95" t="str">
        <f t="shared" si="1048"/>
        <v/>
      </c>
      <c r="DB194" s="95"/>
      <c r="DC194" s="95"/>
      <c r="DD194" s="95"/>
      <c r="DE194" s="95"/>
      <c r="DF194" s="95"/>
      <c r="DG194" s="95"/>
      <c r="DH194" s="95"/>
      <c r="DI194" s="95"/>
      <c r="DJ194" s="95"/>
      <c r="DK194" s="95"/>
      <c r="DL194" s="95"/>
      <c r="DM194" s="65">
        <f t="shared" si="1049"/>
        <v>0</v>
      </c>
      <c r="DN194" s="1"/>
      <c r="DO194" s="130"/>
      <c r="DP194" s="130"/>
      <c r="DQ194" s="131"/>
    </row>
    <row r="195" outlineLevel="1">
      <c r="A195" s="15"/>
      <c r="B195" s="123" t="s">
        <v>183</v>
      </c>
      <c r="C195" s="124"/>
      <c r="D195" s="225">
        <f t="shared" si="1018"/>
        <v>0</v>
      </c>
      <c r="E195" s="225">
        <f t="shared" si="1019"/>
        <v>0</v>
      </c>
      <c r="F195" s="225">
        <f t="shared" si="1020"/>
        <v>0</v>
      </c>
      <c r="G195" s="225">
        <f t="shared" si="1021"/>
        <v>0</v>
      </c>
      <c r="H195" s="175"/>
      <c r="I195" s="176">
        <f t="shared" si="1022"/>
        <v>0</v>
      </c>
      <c r="J195" s="177">
        <f t="shared" si="1023"/>
        <v>0</v>
      </c>
      <c r="K195" s="176">
        <f t="shared" si="1024"/>
        <v>0</v>
      </c>
      <c r="L195" s="177">
        <f t="shared" si="1025"/>
        <v>0</v>
      </c>
      <c r="M195" s="176">
        <f t="shared" si="1026"/>
        <v>0</v>
      </c>
      <c r="N195" s="177">
        <f t="shared" si="1027"/>
        <v>0</v>
      </c>
      <c r="O195" s="175"/>
      <c r="P195" s="47">
        <f t="shared" si="1028"/>
        <v>0</v>
      </c>
      <c r="Q195" s="225">
        <f t="shared" si="1029"/>
        <v>0</v>
      </c>
      <c r="R195" s="225">
        <f t="shared" si="1030"/>
        <v>0</v>
      </c>
      <c r="S195" s="48"/>
      <c r="T195" s="66">
        <f t="shared" si="1031"/>
        <v>0</v>
      </c>
      <c r="U195" s="67">
        <f t="shared" si="1032"/>
        <v>0</v>
      </c>
      <c r="V195" s="66">
        <f t="shared" si="1033"/>
        <v>0</v>
      </c>
      <c r="W195" s="67">
        <f t="shared" si="1034"/>
        <v>0</v>
      </c>
      <c r="X195" s="48"/>
      <c r="Y195" s="47">
        <f t="shared" si="1035"/>
        <v>0</v>
      </c>
      <c r="Z195" s="47">
        <f t="shared" si="1036"/>
        <v>0</v>
      </c>
      <c r="AA195" s="225">
        <f t="shared" si="1037"/>
        <v>0</v>
      </c>
      <c r="AB195" s="95" t="str">
        <f t="shared" si="1038"/>
        <v/>
      </c>
      <c r="AC195" s="125"/>
      <c r="AD195" s="66">
        <f t="shared" si="1039"/>
        <v>0</v>
      </c>
      <c r="AE195" s="67">
        <f t="shared" si="1040"/>
        <v>0</v>
      </c>
      <c r="AF195" s="66">
        <f t="shared" si="1041"/>
        <v>0</v>
      </c>
      <c r="AG195" s="67">
        <f t="shared" si="1042"/>
        <v>0</v>
      </c>
      <c r="AH195" s="126"/>
      <c r="AI195" s="47" t="str">
        <f t="shared" si="1043"/>
        <v/>
      </c>
      <c r="AJ195" s="47" t="str">
        <f t="shared" ref="AJ195:AT195" si="1058">IFERROR(IF(AJ$3="A",CN195,IF(AJ$3="F",DB195,IF(AJ$3="B",BL195,0))),"")</f>
        <v/>
      </c>
      <c r="AK195" s="47" t="str">
        <f t="shared" si="1058"/>
        <v/>
      </c>
      <c r="AL195" s="47" t="str">
        <f t="shared" si="1058"/>
        <v/>
      </c>
      <c r="AM195" s="47" t="str">
        <f t="shared" si="1058"/>
        <v/>
      </c>
      <c r="AN195" s="47" t="str">
        <f t="shared" si="1058"/>
        <v/>
      </c>
      <c r="AO195" s="47" t="str">
        <f t="shared" si="1058"/>
        <v/>
      </c>
      <c r="AP195" s="47" t="str">
        <f t="shared" si="1058"/>
        <v/>
      </c>
      <c r="AQ195" s="47" t="str">
        <f t="shared" si="1058"/>
        <v/>
      </c>
      <c r="AR195" s="47" t="str">
        <f t="shared" si="1058"/>
        <v/>
      </c>
      <c r="AS195" s="47" t="str">
        <f t="shared" si="1058"/>
        <v/>
      </c>
      <c r="AT195" s="47" t="str">
        <f t="shared" si="1058"/>
        <v/>
      </c>
      <c r="AU195" s="65">
        <f t="shared" si="1045"/>
        <v>0</v>
      </c>
      <c r="AV195" s="127"/>
      <c r="AW195" s="47" t="str">
        <f t="shared" ref="AW195:BH195" si="1059">IFERROR(IF(AW$3="A",CM195,IF(AW$3="B",BK195)),0)</f>
        <v/>
      </c>
      <c r="AX195" s="47" t="str">
        <f t="shared" si="1059"/>
        <v/>
      </c>
      <c r="AY195" s="47" t="str">
        <f t="shared" si="1059"/>
        <v/>
      </c>
      <c r="AZ195" s="47" t="str">
        <f t="shared" si="1059"/>
        <v/>
      </c>
      <c r="BA195" s="47" t="str">
        <f t="shared" si="1059"/>
        <v/>
      </c>
      <c r="BB195" s="47" t="str">
        <f t="shared" si="1059"/>
        <v/>
      </c>
      <c r="BC195" s="47" t="str">
        <f t="shared" si="1059"/>
        <v/>
      </c>
      <c r="BD195" s="47" t="str">
        <f t="shared" si="1059"/>
        <v/>
      </c>
      <c r="BE195" s="47" t="str">
        <f t="shared" si="1059"/>
        <v/>
      </c>
      <c r="BF195" s="47" t="str">
        <f t="shared" si="1059"/>
        <v/>
      </c>
      <c r="BG195" s="47" t="str">
        <f t="shared" si="1059"/>
        <v/>
      </c>
      <c r="BH195" s="47" t="str">
        <f t="shared" si="1059"/>
        <v/>
      </c>
      <c r="BI195" s="65">
        <f t="shared" si="1047"/>
        <v>0</v>
      </c>
      <c r="BJ195" s="126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129">
        <v>0.0</v>
      </c>
      <c r="BX195" s="1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65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65"/>
      <c r="CZ195" s="11"/>
      <c r="DA195" s="95" t="str">
        <f t="shared" si="1048"/>
        <v/>
      </c>
      <c r="DB195" s="95"/>
      <c r="DC195" s="95"/>
      <c r="DD195" s="95"/>
      <c r="DE195" s="95"/>
      <c r="DF195" s="95"/>
      <c r="DG195" s="95"/>
      <c r="DH195" s="95"/>
      <c r="DI195" s="95"/>
      <c r="DJ195" s="95"/>
      <c r="DK195" s="95"/>
      <c r="DL195" s="95"/>
      <c r="DM195" s="65">
        <f t="shared" si="1049"/>
        <v>0</v>
      </c>
      <c r="DN195" s="1"/>
      <c r="DO195" s="130"/>
      <c r="DP195" s="130"/>
      <c r="DQ195" s="131"/>
    </row>
    <row r="196" outlineLevel="1">
      <c r="A196" s="15"/>
      <c r="B196" s="123" t="s">
        <v>184</v>
      </c>
      <c r="C196" s="124"/>
      <c r="D196" s="225">
        <f t="shared" si="1018"/>
        <v>0</v>
      </c>
      <c r="E196" s="225">
        <f t="shared" si="1019"/>
        <v>0</v>
      </c>
      <c r="F196" s="225">
        <f t="shared" si="1020"/>
        <v>350</v>
      </c>
      <c r="G196" s="225">
        <f t="shared" si="1021"/>
        <v>0</v>
      </c>
      <c r="H196" s="175"/>
      <c r="I196" s="176">
        <f t="shared" si="1022"/>
        <v>0</v>
      </c>
      <c r="J196" s="177">
        <f t="shared" si="1023"/>
        <v>0</v>
      </c>
      <c r="K196" s="176">
        <f t="shared" si="1024"/>
        <v>350</v>
      </c>
      <c r="L196" s="177">
        <f t="shared" si="1025"/>
        <v>1</v>
      </c>
      <c r="M196" s="176">
        <f t="shared" si="1026"/>
        <v>0</v>
      </c>
      <c r="N196" s="177">
        <f t="shared" si="1027"/>
        <v>0</v>
      </c>
      <c r="O196" s="175"/>
      <c r="P196" s="47">
        <f t="shared" si="1028"/>
        <v>0</v>
      </c>
      <c r="Q196" s="225">
        <f t="shared" si="1029"/>
        <v>2100</v>
      </c>
      <c r="R196" s="225">
        <f t="shared" si="1030"/>
        <v>0</v>
      </c>
      <c r="S196" s="48"/>
      <c r="T196" s="66">
        <f t="shared" si="1031"/>
        <v>2100</v>
      </c>
      <c r="U196" s="67">
        <f t="shared" si="1032"/>
        <v>1</v>
      </c>
      <c r="V196" s="66">
        <f t="shared" si="1033"/>
        <v>0</v>
      </c>
      <c r="W196" s="67">
        <f t="shared" si="1034"/>
        <v>0</v>
      </c>
      <c r="X196" s="48"/>
      <c r="Y196" s="47">
        <f t="shared" si="1035"/>
        <v>1050</v>
      </c>
      <c r="Z196" s="47">
        <f t="shared" si="1036"/>
        <v>2100</v>
      </c>
      <c r="AA196" s="225">
        <f t="shared" si="1037"/>
        <v>4200</v>
      </c>
      <c r="AB196" s="95" t="str">
        <f t="shared" si="1038"/>
        <v/>
      </c>
      <c r="AC196" s="125"/>
      <c r="AD196" s="66">
        <f t="shared" si="1039"/>
        <v>3150</v>
      </c>
      <c r="AE196" s="67">
        <f t="shared" si="1040"/>
        <v>0.75</v>
      </c>
      <c r="AF196" s="66">
        <f t="shared" si="1041"/>
        <v>-1050</v>
      </c>
      <c r="AG196" s="67">
        <f t="shared" si="1042"/>
        <v>0</v>
      </c>
      <c r="AH196" s="126"/>
      <c r="AI196" s="47" t="str">
        <f t="shared" si="1043"/>
        <v/>
      </c>
      <c r="AJ196" s="47" t="str">
        <f t="shared" ref="AJ196:AT196" si="1060">IFERROR(IF(AJ$3="A",CN196,IF(AJ$3="F",DB196,IF(AJ$3="B",BL196,0))),"")</f>
        <v/>
      </c>
      <c r="AK196" s="47" t="str">
        <f t="shared" si="1060"/>
        <v/>
      </c>
      <c r="AL196" s="47" t="str">
        <f t="shared" si="1060"/>
        <v/>
      </c>
      <c r="AM196" s="47" t="str">
        <f t="shared" si="1060"/>
        <v/>
      </c>
      <c r="AN196" s="47" t="str">
        <f t="shared" si="1060"/>
        <v/>
      </c>
      <c r="AO196" s="47" t="str">
        <f t="shared" si="1060"/>
        <v/>
      </c>
      <c r="AP196" s="47" t="str">
        <f t="shared" si="1060"/>
        <v/>
      </c>
      <c r="AQ196" s="47" t="str">
        <f t="shared" si="1060"/>
        <v/>
      </c>
      <c r="AR196" s="47">
        <f t="shared" si="1060"/>
        <v>350</v>
      </c>
      <c r="AS196" s="47">
        <f t="shared" si="1060"/>
        <v>350</v>
      </c>
      <c r="AT196" s="47">
        <f t="shared" si="1060"/>
        <v>350</v>
      </c>
      <c r="AU196" s="65">
        <f t="shared" si="1045"/>
        <v>1050</v>
      </c>
      <c r="AV196" s="127"/>
      <c r="AW196" s="47" t="str">
        <f t="shared" ref="AW196:BH196" si="1061">IFERROR(IF(AW$3="A",CM196,IF(AW$3="B",BK196)),0)</f>
        <v/>
      </c>
      <c r="AX196" s="47" t="str">
        <f t="shared" si="1061"/>
        <v/>
      </c>
      <c r="AY196" s="47" t="str">
        <f t="shared" si="1061"/>
        <v/>
      </c>
      <c r="AZ196" s="47" t="str">
        <f t="shared" si="1061"/>
        <v/>
      </c>
      <c r="BA196" s="47" t="str">
        <f t="shared" si="1061"/>
        <v/>
      </c>
      <c r="BB196" s="47" t="str">
        <f t="shared" si="1061"/>
        <v/>
      </c>
      <c r="BC196" s="47">
        <f t="shared" si="1061"/>
        <v>350</v>
      </c>
      <c r="BD196" s="47">
        <f t="shared" si="1061"/>
        <v>350</v>
      </c>
      <c r="BE196" s="47">
        <f t="shared" si="1061"/>
        <v>350</v>
      </c>
      <c r="BF196" s="47">
        <f t="shared" si="1061"/>
        <v>350</v>
      </c>
      <c r="BG196" s="47">
        <f t="shared" si="1061"/>
        <v>350</v>
      </c>
      <c r="BH196" s="47">
        <f t="shared" si="1061"/>
        <v>350</v>
      </c>
      <c r="BI196" s="65">
        <f t="shared" si="1047"/>
        <v>2100</v>
      </c>
      <c r="BJ196" s="126"/>
      <c r="BK196" s="128">
        <v>350.0</v>
      </c>
      <c r="BL196" s="128">
        <v>350.0</v>
      </c>
      <c r="BM196" s="128">
        <v>350.0</v>
      </c>
      <c r="BN196" s="128">
        <v>350.0</v>
      </c>
      <c r="BO196" s="128">
        <v>350.0</v>
      </c>
      <c r="BP196" s="128">
        <v>350.0</v>
      </c>
      <c r="BQ196" s="128">
        <v>350.0</v>
      </c>
      <c r="BR196" s="128">
        <v>350.0</v>
      </c>
      <c r="BS196" s="128">
        <v>350.0</v>
      </c>
      <c r="BT196" s="128">
        <v>350.0</v>
      </c>
      <c r="BU196" s="128">
        <v>350.0</v>
      </c>
      <c r="BV196" s="128">
        <v>350.0</v>
      </c>
      <c r="BW196" s="129">
        <v>4200.0</v>
      </c>
      <c r="BX196" s="1"/>
      <c r="BY196" s="47"/>
      <c r="BZ196" s="47"/>
      <c r="CA196" s="47"/>
      <c r="CB196" s="47"/>
      <c r="CC196" s="47"/>
      <c r="CD196" s="47"/>
      <c r="CE196" s="47"/>
      <c r="CF196" s="47"/>
      <c r="CG196" s="47"/>
      <c r="CH196" s="47"/>
      <c r="CI196" s="47"/>
      <c r="CJ196" s="47"/>
      <c r="CK196" s="65"/>
      <c r="CL196" s="47"/>
      <c r="CM196" s="47"/>
      <c r="CN196" s="47"/>
      <c r="CO196" s="47"/>
      <c r="CP196" s="47"/>
      <c r="CQ196" s="47"/>
      <c r="CR196" s="47"/>
      <c r="CS196" s="47"/>
      <c r="CT196" s="47"/>
      <c r="CU196" s="47"/>
      <c r="CV196" s="47"/>
      <c r="CW196" s="47"/>
      <c r="CX196" s="47"/>
      <c r="CY196" s="65"/>
      <c r="CZ196" s="11"/>
      <c r="DA196" s="47">
        <f t="shared" si="1048"/>
        <v>350</v>
      </c>
      <c r="DB196" s="47"/>
      <c r="DC196" s="47"/>
      <c r="DD196" s="47"/>
      <c r="DE196" s="47"/>
      <c r="DF196" s="47"/>
      <c r="DG196" s="47"/>
      <c r="DH196" s="47"/>
      <c r="DI196" s="47"/>
      <c r="DJ196" s="47"/>
      <c r="DK196" s="47"/>
      <c r="DL196" s="47"/>
      <c r="DM196" s="65">
        <f t="shared" si="1049"/>
        <v>350</v>
      </c>
      <c r="DN196" s="1"/>
      <c r="DO196" s="130"/>
      <c r="DP196" s="130"/>
      <c r="DQ196" s="131"/>
    </row>
    <row r="197" outlineLevel="1">
      <c r="A197" s="15"/>
      <c r="B197" s="123" t="s">
        <v>185</v>
      </c>
      <c r="C197" s="124"/>
      <c r="D197" s="225">
        <f t="shared" si="1018"/>
        <v>0</v>
      </c>
      <c r="E197" s="225">
        <f t="shared" si="1019"/>
        <v>0</v>
      </c>
      <c r="F197" s="225">
        <f t="shared" si="1020"/>
        <v>1248</v>
      </c>
      <c r="G197" s="225">
        <f t="shared" si="1021"/>
        <v>0</v>
      </c>
      <c r="H197" s="175"/>
      <c r="I197" s="176">
        <f t="shared" si="1022"/>
        <v>0</v>
      </c>
      <c r="J197" s="177">
        <f t="shared" si="1023"/>
        <v>0</v>
      </c>
      <c r="K197" s="176">
        <f t="shared" si="1024"/>
        <v>1248</v>
      </c>
      <c r="L197" s="177">
        <f t="shared" si="1025"/>
        <v>1</v>
      </c>
      <c r="M197" s="176">
        <f t="shared" si="1026"/>
        <v>0</v>
      </c>
      <c r="N197" s="177">
        <f t="shared" si="1027"/>
        <v>0</v>
      </c>
      <c r="O197" s="175"/>
      <c r="P197" s="47">
        <f t="shared" si="1028"/>
        <v>0</v>
      </c>
      <c r="Q197" s="225">
        <f t="shared" si="1029"/>
        <v>7583</v>
      </c>
      <c r="R197" s="225">
        <f t="shared" si="1030"/>
        <v>0</v>
      </c>
      <c r="S197" s="48"/>
      <c r="T197" s="66">
        <f t="shared" si="1031"/>
        <v>7583</v>
      </c>
      <c r="U197" s="67">
        <f t="shared" si="1032"/>
        <v>1</v>
      </c>
      <c r="V197" s="66">
        <f t="shared" si="1033"/>
        <v>0</v>
      </c>
      <c r="W197" s="67">
        <f t="shared" si="1034"/>
        <v>0</v>
      </c>
      <c r="X197" s="48"/>
      <c r="Y197" s="47">
        <f t="shared" si="1035"/>
        <v>3744</v>
      </c>
      <c r="Z197" s="47">
        <f t="shared" si="1036"/>
        <v>7488</v>
      </c>
      <c r="AA197" s="225">
        <f t="shared" si="1037"/>
        <v>15071</v>
      </c>
      <c r="AB197" s="95" t="str">
        <f t="shared" si="1038"/>
        <v/>
      </c>
      <c r="AC197" s="125"/>
      <c r="AD197" s="66">
        <f t="shared" si="1039"/>
        <v>11327</v>
      </c>
      <c r="AE197" s="67">
        <f t="shared" si="1040"/>
        <v>0.7515758742</v>
      </c>
      <c r="AF197" s="66">
        <f t="shared" si="1041"/>
        <v>-3744</v>
      </c>
      <c r="AG197" s="67">
        <f t="shared" si="1042"/>
        <v>0</v>
      </c>
      <c r="AH197" s="126"/>
      <c r="AI197" s="47" t="str">
        <f t="shared" si="1043"/>
        <v/>
      </c>
      <c r="AJ197" s="47" t="str">
        <f t="shared" ref="AJ197:AT197" si="1062">IFERROR(IF(AJ$3="A",CN197,IF(AJ$3="F",DB197,IF(AJ$3="B",BL197,0))),"")</f>
        <v/>
      </c>
      <c r="AK197" s="47" t="str">
        <f t="shared" si="1062"/>
        <v/>
      </c>
      <c r="AL197" s="47" t="str">
        <f t="shared" si="1062"/>
        <v/>
      </c>
      <c r="AM197" s="47" t="str">
        <f t="shared" si="1062"/>
        <v/>
      </c>
      <c r="AN197" s="47" t="str">
        <f t="shared" si="1062"/>
        <v/>
      </c>
      <c r="AO197" s="47" t="str">
        <f t="shared" si="1062"/>
        <v/>
      </c>
      <c r="AP197" s="47" t="str">
        <f t="shared" si="1062"/>
        <v/>
      </c>
      <c r="AQ197" s="47" t="str">
        <f t="shared" si="1062"/>
        <v/>
      </c>
      <c r="AR197" s="47">
        <f t="shared" si="1062"/>
        <v>1248</v>
      </c>
      <c r="AS197" s="47">
        <f t="shared" si="1062"/>
        <v>1248</v>
      </c>
      <c r="AT197" s="47">
        <f t="shared" si="1062"/>
        <v>1248</v>
      </c>
      <c r="AU197" s="65">
        <f t="shared" si="1045"/>
        <v>3744</v>
      </c>
      <c r="AV197" s="127"/>
      <c r="AW197" s="47" t="str">
        <f t="shared" ref="AW197:BH197" si="1063">IFERROR(IF(AW$3="A",CM197,IF(AW$3="B",BK197)),0)</f>
        <v/>
      </c>
      <c r="AX197" s="47" t="str">
        <f t="shared" si="1063"/>
        <v/>
      </c>
      <c r="AY197" s="47" t="str">
        <f t="shared" si="1063"/>
        <v/>
      </c>
      <c r="AZ197" s="47" t="str">
        <f t="shared" si="1063"/>
        <v/>
      </c>
      <c r="BA197" s="47" t="str">
        <f t="shared" si="1063"/>
        <v/>
      </c>
      <c r="BB197" s="47" t="str">
        <f t="shared" si="1063"/>
        <v/>
      </c>
      <c r="BC197" s="47">
        <f t="shared" si="1063"/>
        <v>1248</v>
      </c>
      <c r="BD197" s="47">
        <f t="shared" si="1063"/>
        <v>1248</v>
      </c>
      <c r="BE197" s="47">
        <f t="shared" si="1063"/>
        <v>1248</v>
      </c>
      <c r="BF197" s="47">
        <f t="shared" si="1063"/>
        <v>1248</v>
      </c>
      <c r="BG197" s="47">
        <f t="shared" si="1063"/>
        <v>1248</v>
      </c>
      <c r="BH197" s="47">
        <f t="shared" si="1063"/>
        <v>1248</v>
      </c>
      <c r="BI197" s="65">
        <f t="shared" si="1047"/>
        <v>7488</v>
      </c>
      <c r="BJ197" s="126"/>
      <c r="BK197" s="128">
        <v>1343.0</v>
      </c>
      <c r="BL197" s="128">
        <v>1248.0</v>
      </c>
      <c r="BM197" s="128">
        <v>1248.0</v>
      </c>
      <c r="BN197" s="128">
        <v>1248.0</v>
      </c>
      <c r="BO197" s="128">
        <v>1248.0</v>
      </c>
      <c r="BP197" s="128">
        <v>1248.0</v>
      </c>
      <c r="BQ197" s="128">
        <v>1248.0</v>
      </c>
      <c r="BR197" s="128">
        <v>1248.0</v>
      </c>
      <c r="BS197" s="128">
        <v>1248.0</v>
      </c>
      <c r="BT197" s="128">
        <v>1248.0</v>
      </c>
      <c r="BU197" s="128">
        <v>1248.0</v>
      </c>
      <c r="BV197" s="128">
        <v>1248.0</v>
      </c>
      <c r="BW197" s="129">
        <v>15071.0</v>
      </c>
      <c r="BX197" s="1"/>
      <c r="BY197" s="47"/>
      <c r="BZ197" s="47"/>
      <c r="CA197" s="47"/>
      <c r="CB197" s="47"/>
      <c r="CC197" s="47"/>
      <c r="CD197" s="47"/>
      <c r="CE197" s="47"/>
      <c r="CF197" s="47"/>
      <c r="CG197" s="47"/>
      <c r="CH197" s="47"/>
      <c r="CI197" s="47"/>
      <c r="CJ197" s="47"/>
      <c r="CK197" s="65"/>
      <c r="CL197" s="47"/>
      <c r="CM197" s="47"/>
      <c r="CN197" s="47"/>
      <c r="CO197" s="47"/>
      <c r="CP197" s="47"/>
      <c r="CQ197" s="47"/>
      <c r="CR197" s="47"/>
      <c r="CS197" s="47"/>
      <c r="CT197" s="47"/>
      <c r="CU197" s="47"/>
      <c r="CV197" s="47"/>
      <c r="CW197" s="47"/>
      <c r="CX197" s="47"/>
      <c r="CY197" s="65"/>
      <c r="CZ197" s="11"/>
      <c r="DA197" s="47">
        <f t="shared" si="1048"/>
        <v>1343</v>
      </c>
      <c r="DB197" s="47"/>
      <c r="DC197" s="47"/>
      <c r="DD197" s="47"/>
      <c r="DE197" s="47"/>
      <c r="DF197" s="47"/>
      <c r="DG197" s="47"/>
      <c r="DH197" s="47"/>
      <c r="DI197" s="47"/>
      <c r="DJ197" s="47"/>
      <c r="DK197" s="47"/>
      <c r="DL197" s="47"/>
      <c r="DM197" s="65">
        <f t="shared" si="1049"/>
        <v>1343</v>
      </c>
      <c r="DN197" s="1"/>
      <c r="DO197" s="130"/>
      <c r="DP197" s="130"/>
      <c r="DQ197" s="131"/>
    </row>
    <row r="198" outlineLevel="1">
      <c r="A198" s="15"/>
      <c r="B198" s="240" t="s">
        <v>186</v>
      </c>
      <c r="C198" s="15"/>
      <c r="D198" s="222">
        <f t="shared" ref="D198:G198" si="1064">SUM(D199:D200)</f>
        <v>0</v>
      </c>
      <c r="E198" s="222">
        <f t="shared" si="1064"/>
        <v>0</v>
      </c>
      <c r="F198" s="222">
        <f t="shared" si="1064"/>
        <v>65.188</v>
      </c>
      <c r="G198" s="222">
        <f t="shared" si="1064"/>
        <v>0</v>
      </c>
      <c r="H198" s="217"/>
      <c r="I198" s="241">
        <f t="shared" si="1022"/>
        <v>0</v>
      </c>
      <c r="J198" s="221">
        <f t="shared" si="1023"/>
        <v>0</v>
      </c>
      <c r="K198" s="241">
        <f t="shared" si="1024"/>
        <v>65.188</v>
      </c>
      <c r="L198" s="221">
        <f t="shared" si="1025"/>
        <v>1</v>
      </c>
      <c r="M198" s="241">
        <f t="shared" si="1026"/>
        <v>0</v>
      </c>
      <c r="N198" s="221">
        <f t="shared" si="1027"/>
        <v>0</v>
      </c>
      <c r="O198" s="217"/>
      <c r="P198" s="65">
        <f t="shared" ref="P198:R198" si="1065">SUM(P199:P200)</f>
        <v>0</v>
      </c>
      <c r="Q198" s="222">
        <f t="shared" si="1065"/>
        <v>7235.423</v>
      </c>
      <c r="R198" s="222">
        <f t="shared" si="1065"/>
        <v>0</v>
      </c>
      <c r="S198" s="17"/>
      <c r="T198" s="75">
        <f t="shared" si="1031"/>
        <v>7235.423</v>
      </c>
      <c r="U198" s="60">
        <f t="shared" si="1032"/>
        <v>1</v>
      </c>
      <c r="V198" s="75">
        <f t="shared" si="1033"/>
        <v>0</v>
      </c>
      <c r="W198" s="60">
        <f t="shared" si="1034"/>
        <v>0</v>
      </c>
      <c r="X198" s="17"/>
      <c r="Y198" s="65">
        <f t="shared" ref="Y198:AB198" si="1066">SUM(Y199:Y200)</f>
        <v>1910.752</v>
      </c>
      <c r="Z198" s="65">
        <f t="shared" si="1066"/>
        <v>3903.313</v>
      </c>
      <c r="AA198" s="222">
        <f t="shared" si="1066"/>
        <v>11138.736</v>
      </c>
      <c r="AB198" s="65">
        <f t="shared" si="1066"/>
        <v>0</v>
      </c>
      <c r="AC198" s="17"/>
      <c r="AD198" s="75">
        <f t="shared" si="1039"/>
        <v>9227.984</v>
      </c>
      <c r="AE198" s="60">
        <f t="shared" si="1040"/>
        <v>0.8284588126</v>
      </c>
      <c r="AF198" s="75">
        <f t="shared" si="1041"/>
        <v>-1910.752</v>
      </c>
      <c r="AG198" s="60">
        <f t="shared" si="1042"/>
        <v>0</v>
      </c>
      <c r="AH198" s="242"/>
      <c r="AI198" s="65">
        <f t="shared" ref="AI198:AT198" si="1067">SUM(AI199:AI200)</f>
        <v>0</v>
      </c>
      <c r="AJ198" s="65">
        <f t="shared" si="1067"/>
        <v>0</v>
      </c>
      <c r="AK198" s="65">
        <f t="shared" si="1067"/>
        <v>0</v>
      </c>
      <c r="AL198" s="65">
        <f t="shared" si="1067"/>
        <v>0</v>
      </c>
      <c r="AM198" s="65">
        <f t="shared" si="1067"/>
        <v>0</v>
      </c>
      <c r="AN198" s="65">
        <f t="shared" si="1067"/>
        <v>0</v>
      </c>
      <c r="AO198" s="65">
        <f t="shared" si="1067"/>
        <v>0</v>
      </c>
      <c r="AP198" s="65">
        <f t="shared" si="1067"/>
        <v>0</v>
      </c>
      <c r="AQ198" s="65">
        <f t="shared" si="1067"/>
        <v>0</v>
      </c>
      <c r="AR198" s="65">
        <f t="shared" si="1067"/>
        <v>84.308</v>
      </c>
      <c r="AS198" s="65">
        <f t="shared" si="1067"/>
        <v>914.455</v>
      </c>
      <c r="AT198" s="65">
        <f t="shared" si="1067"/>
        <v>911.989</v>
      </c>
      <c r="AU198" s="65">
        <f t="shared" si="1045"/>
        <v>1910.752</v>
      </c>
      <c r="AV198" s="11"/>
      <c r="AW198" s="65">
        <f t="shared" ref="AW198:BH198" si="1068">SUM(AW199:AW200)</f>
        <v>0</v>
      </c>
      <c r="AX198" s="65">
        <f t="shared" si="1068"/>
        <v>0</v>
      </c>
      <c r="AY198" s="65">
        <f t="shared" si="1068"/>
        <v>0</v>
      </c>
      <c r="AZ198" s="65">
        <f t="shared" si="1068"/>
        <v>0</v>
      </c>
      <c r="BA198" s="65">
        <f t="shared" si="1068"/>
        <v>0</v>
      </c>
      <c r="BB198" s="65">
        <f t="shared" si="1068"/>
        <v>0</v>
      </c>
      <c r="BC198" s="65">
        <f t="shared" si="1068"/>
        <v>78.512</v>
      </c>
      <c r="BD198" s="65">
        <f t="shared" si="1068"/>
        <v>1006.097</v>
      </c>
      <c r="BE198" s="65">
        <f t="shared" si="1068"/>
        <v>907.952</v>
      </c>
      <c r="BF198" s="65">
        <f t="shared" si="1068"/>
        <v>84.308</v>
      </c>
      <c r="BG198" s="65">
        <f t="shared" si="1068"/>
        <v>914.455</v>
      </c>
      <c r="BH198" s="65">
        <f t="shared" si="1068"/>
        <v>911.989</v>
      </c>
      <c r="BI198" s="65">
        <f t="shared" si="1047"/>
        <v>3903.313</v>
      </c>
      <c r="BJ198" s="242"/>
      <c r="BK198" s="129">
        <v>912.197</v>
      </c>
      <c r="BL198" s="129">
        <v>2598.285</v>
      </c>
      <c r="BM198" s="129">
        <v>1016.768</v>
      </c>
      <c r="BN198" s="129">
        <v>35.567</v>
      </c>
      <c r="BO198" s="129">
        <v>2607.418</v>
      </c>
      <c r="BP198" s="129">
        <v>65.188</v>
      </c>
      <c r="BQ198" s="129">
        <v>78.512</v>
      </c>
      <c r="BR198" s="129">
        <v>1006.097</v>
      </c>
      <c r="BS198" s="129">
        <v>907.952</v>
      </c>
      <c r="BT198" s="129">
        <v>84.308</v>
      </c>
      <c r="BU198" s="129">
        <v>914.455</v>
      </c>
      <c r="BV198" s="129">
        <v>911.989</v>
      </c>
      <c r="BW198" s="129">
        <v>11138.736</v>
      </c>
      <c r="BX198" s="1"/>
      <c r="BY198" s="65"/>
      <c r="BZ198" s="65"/>
      <c r="CA198" s="65"/>
      <c r="CB198" s="65"/>
      <c r="CC198" s="65"/>
      <c r="CD198" s="65"/>
      <c r="CE198" s="65"/>
      <c r="CF198" s="65"/>
      <c r="CG198" s="65"/>
      <c r="CH198" s="65"/>
      <c r="CI198" s="65"/>
      <c r="CJ198" s="65"/>
      <c r="CK198" s="65"/>
      <c r="CL198" s="65"/>
      <c r="CM198" s="65"/>
      <c r="CN198" s="65"/>
      <c r="CO198" s="65"/>
      <c r="CP198" s="65"/>
      <c r="CQ198" s="65"/>
      <c r="CR198" s="65"/>
      <c r="CS198" s="65"/>
      <c r="CT198" s="65"/>
      <c r="CU198" s="65"/>
      <c r="CV198" s="65"/>
      <c r="CW198" s="65"/>
      <c r="CX198" s="65"/>
      <c r="CY198" s="65"/>
      <c r="CZ198" s="11"/>
      <c r="DA198" s="65">
        <f>SUM(DA199:DA200)</f>
        <v>912.197</v>
      </c>
      <c r="DB198" s="65"/>
      <c r="DC198" s="65"/>
      <c r="DD198" s="65"/>
      <c r="DE198" s="65"/>
      <c r="DF198" s="65"/>
      <c r="DG198" s="65"/>
      <c r="DH198" s="65"/>
      <c r="DI198" s="65"/>
      <c r="DJ198" s="65"/>
      <c r="DK198" s="65"/>
      <c r="DL198" s="65"/>
      <c r="DM198" s="65">
        <f t="shared" si="1049"/>
        <v>912.197</v>
      </c>
      <c r="DN198" s="1"/>
      <c r="DO198" s="224"/>
      <c r="DP198" s="224"/>
      <c r="DQ198" s="131"/>
    </row>
    <row r="199" outlineLevel="2">
      <c r="A199" s="15"/>
      <c r="B199" s="173" t="s">
        <v>187</v>
      </c>
      <c r="C199" s="124"/>
      <c r="D199" s="174">
        <f t="shared" ref="D199:D200" si="1071">SUMIFS($CM199:$CX199,$CM$35:$CX$35,$D$2)</f>
        <v>0</v>
      </c>
      <c r="E199" s="174">
        <f t="shared" ref="E199:E200" si="1072">SUMIFS($DA199:$DM199,$DA$35:$DM$35,$D$2)</f>
        <v>0</v>
      </c>
      <c r="F199" s="174">
        <f t="shared" ref="F199:F200" si="1073">SUMIFS($BK199:$BV199,$BK$35:$BV$35,$D$2)</f>
        <v>65.188</v>
      </c>
      <c r="G199" s="174">
        <f t="shared" ref="G199:G200" si="1074">SUMIFS($BY199:$CJ199,$BY$35:$CJ$35,$D$2)</f>
        <v>0</v>
      </c>
      <c r="H199" s="175"/>
      <c r="I199" s="176">
        <f t="shared" si="1022"/>
        <v>0</v>
      </c>
      <c r="J199" s="177">
        <f t="shared" si="1023"/>
        <v>0</v>
      </c>
      <c r="K199" s="176">
        <f t="shared" si="1024"/>
        <v>65.188</v>
      </c>
      <c r="L199" s="177">
        <f t="shared" si="1025"/>
        <v>1</v>
      </c>
      <c r="M199" s="176">
        <f t="shared" si="1026"/>
        <v>0</v>
      </c>
      <c r="N199" s="177">
        <f t="shared" si="1027"/>
        <v>0</v>
      </c>
      <c r="O199" s="175"/>
      <c r="P199" s="178">
        <f t="shared" ref="P199:P200" si="1075">SUMIFS($CM199:$CX199,$CM$35:$CX$35,$P$2)</f>
        <v>0</v>
      </c>
      <c r="Q199" s="174">
        <f t="shared" ref="Q199:Q200" si="1076">SUMIFS($BK199:$BV199,$BK$35:$BV$35,$P$2)</f>
        <v>371.423</v>
      </c>
      <c r="R199" s="174">
        <f t="shared" ref="R199:R200" si="1077">SUMIFS($BY199:$CJ199,$BY$35:$CJ$35,$P$2)</f>
        <v>0</v>
      </c>
      <c r="S199" s="175"/>
      <c r="T199" s="176">
        <f t="shared" si="1031"/>
        <v>371.423</v>
      </c>
      <c r="U199" s="67">
        <f t="shared" si="1032"/>
        <v>1</v>
      </c>
      <c r="V199" s="66">
        <f t="shared" si="1033"/>
        <v>0</v>
      </c>
      <c r="W199" s="67">
        <f t="shared" si="1034"/>
        <v>0</v>
      </c>
      <c r="X199" s="48"/>
      <c r="Y199" s="178">
        <f t="shared" ref="Y199:Y200" si="1078">$AU199</f>
        <v>241.752</v>
      </c>
      <c r="Z199" s="178">
        <f t="shared" ref="Z199:Z200" si="1079">$BI199</f>
        <v>447.313</v>
      </c>
      <c r="AA199" s="174">
        <f t="shared" ref="AA199:AA200" si="1080">$BW199</f>
        <v>818.736</v>
      </c>
      <c r="AB199" s="95" t="str">
        <f t="shared" ref="AB199:AB200" si="1081">$CK199</f>
        <v/>
      </c>
      <c r="AC199" s="125"/>
      <c r="AD199" s="66">
        <f t="shared" si="1039"/>
        <v>576.984</v>
      </c>
      <c r="AE199" s="67">
        <f t="shared" si="1040"/>
        <v>0.7047253327</v>
      </c>
      <c r="AF199" s="66">
        <f t="shared" si="1041"/>
        <v>-241.752</v>
      </c>
      <c r="AG199" s="67">
        <f t="shared" si="1042"/>
        <v>0</v>
      </c>
      <c r="AH199" s="179"/>
      <c r="AI199" s="47" t="str">
        <f t="shared" ref="AI199:AI200" si="1082">IFERROR(IF(AI$3="A",CM199,IF(AI$3="F",DA199)),0)</f>
        <v/>
      </c>
      <c r="AJ199" s="47" t="str">
        <f t="shared" ref="AJ199:AT199" si="1069">IFERROR(IF(AJ$3="A",CN199,IF(AJ$3="F",DB199,IF(AJ$3="B",BL199,0))),"")</f>
        <v/>
      </c>
      <c r="AK199" s="47" t="str">
        <f t="shared" si="1069"/>
        <v/>
      </c>
      <c r="AL199" s="47" t="str">
        <f t="shared" si="1069"/>
        <v/>
      </c>
      <c r="AM199" s="47" t="str">
        <f t="shared" si="1069"/>
        <v/>
      </c>
      <c r="AN199" s="47" t="str">
        <f t="shared" si="1069"/>
        <v/>
      </c>
      <c r="AO199" s="47" t="str">
        <f t="shared" si="1069"/>
        <v/>
      </c>
      <c r="AP199" s="47" t="str">
        <f t="shared" si="1069"/>
        <v/>
      </c>
      <c r="AQ199" s="47" t="str">
        <f t="shared" si="1069"/>
        <v/>
      </c>
      <c r="AR199" s="47">
        <f t="shared" si="1069"/>
        <v>84.308</v>
      </c>
      <c r="AS199" s="47">
        <f t="shared" si="1069"/>
        <v>75.455</v>
      </c>
      <c r="AT199" s="47">
        <f t="shared" si="1069"/>
        <v>81.989</v>
      </c>
      <c r="AU199" s="180">
        <f t="shared" si="1045"/>
        <v>241.752</v>
      </c>
      <c r="AV199" s="127"/>
      <c r="AW199" s="47" t="str">
        <f t="shared" ref="AW199:BH199" si="1070">IFERROR(IF(AW$3="A",CM199,IF(AW$3="B",BK199)),0)</f>
        <v/>
      </c>
      <c r="AX199" s="47" t="str">
        <f t="shared" si="1070"/>
        <v/>
      </c>
      <c r="AY199" s="47" t="str">
        <f t="shared" si="1070"/>
        <v/>
      </c>
      <c r="AZ199" s="47" t="str">
        <f t="shared" si="1070"/>
        <v/>
      </c>
      <c r="BA199" s="47" t="str">
        <f t="shared" si="1070"/>
        <v/>
      </c>
      <c r="BB199" s="47" t="str">
        <f t="shared" si="1070"/>
        <v/>
      </c>
      <c r="BC199" s="47">
        <f t="shared" si="1070"/>
        <v>78.512</v>
      </c>
      <c r="BD199" s="47">
        <f t="shared" si="1070"/>
        <v>58.097</v>
      </c>
      <c r="BE199" s="47">
        <f t="shared" si="1070"/>
        <v>68.952</v>
      </c>
      <c r="BF199" s="47">
        <f t="shared" si="1070"/>
        <v>84.308</v>
      </c>
      <c r="BG199" s="47">
        <f t="shared" si="1070"/>
        <v>75.455</v>
      </c>
      <c r="BH199" s="47">
        <f t="shared" si="1070"/>
        <v>81.989</v>
      </c>
      <c r="BI199" s="180">
        <f t="shared" si="1047"/>
        <v>447.313</v>
      </c>
      <c r="BJ199" s="179"/>
      <c r="BK199" s="128">
        <v>73.197</v>
      </c>
      <c r="BL199" s="128">
        <v>64.285</v>
      </c>
      <c r="BM199" s="128">
        <v>59.768</v>
      </c>
      <c r="BN199" s="128">
        <v>35.567</v>
      </c>
      <c r="BO199" s="128">
        <v>73.418</v>
      </c>
      <c r="BP199" s="128">
        <v>65.188</v>
      </c>
      <c r="BQ199" s="128">
        <v>78.512</v>
      </c>
      <c r="BR199" s="128">
        <v>58.097</v>
      </c>
      <c r="BS199" s="128">
        <v>68.952</v>
      </c>
      <c r="BT199" s="128">
        <v>84.308</v>
      </c>
      <c r="BU199" s="128">
        <v>75.455</v>
      </c>
      <c r="BV199" s="128">
        <v>81.989</v>
      </c>
      <c r="BW199" s="181">
        <v>818.736</v>
      </c>
      <c r="BX199" s="182"/>
      <c r="BY199" s="47"/>
      <c r="BZ199" s="47"/>
      <c r="CA199" s="47"/>
      <c r="CB199" s="47"/>
      <c r="CC199" s="47"/>
      <c r="CD199" s="47"/>
      <c r="CE199" s="47"/>
      <c r="CF199" s="47"/>
      <c r="CG199" s="47"/>
      <c r="CH199" s="47"/>
      <c r="CI199" s="47"/>
      <c r="CJ199" s="47"/>
      <c r="CK199" s="180"/>
      <c r="CL199" s="178"/>
      <c r="CM199" s="47"/>
      <c r="CN199" s="47"/>
      <c r="CO199" s="47"/>
      <c r="CP199" s="47"/>
      <c r="CQ199" s="47"/>
      <c r="CR199" s="47"/>
      <c r="CS199" s="47"/>
      <c r="CT199" s="47"/>
      <c r="CU199" s="47"/>
      <c r="CV199" s="47"/>
      <c r="CW199" s="47"/>
      <c r="CX199" s="47"/>
      <c r="CY199" s="180"/>
      <c r="CZ199" s="183"/>
      <c r="DA199" s="178">
        <f t="shared" ref="DA199:DA200" si="1085">BK199</f>
        <v>73.197</v>
      </c>
      <c r="DB199" s="178"/>
      <c r="DC199" s="178"/>
      <c r="DD199" s="178"/>
      <c r="DE199" s="47"/>
      <c r="DF199" s="47"/>
      <c r="DG199" s="47"/>
      <c r="DH199" s="47"/>
      <c r="DI199" s="47"/>
      <c r="DJ199" s="47"/>
      <c r="DK199" s="47"/>
      <c r="DL199" s="47"/>
      <c r="DM199" s="180">
        <f t="shared" si="1049"/>
        <v>73.197</v>
      </c>
      <c r="DN199" s="182"/>
      <c r="DO199" s="243"/>
      <c r="DP199" s="243"/>
      <c r="DQ199" s="131"/>
    </row>
    <row r="200" outlineLevel="2">
      <c r="A200" s="15"/>
      <c r="B200" s="173" t="s">
        <v>188</v>
      </c>
      <c r="C200" s="124"/>
      <c r="D200" s="174">
        <f t="shared" si="1071"/>
        <v>0</v>
      </c>
      <c r="E200" s="174">
        <f t="shared" si="1072"/>
        <v>0</v>
      </c>
      <c r="F200" s="174">
        <f t="shared" si="1073"/>
        <v>0</v>
      </c>
      <c r="G200" s="174">
        <f t="shared" si="1074"/>
        <v>0</v>
      </c>
      <c r="H200" s="175"/>
      <c r="I200" s="176">
        <f t="shared" si="1022"/>
        <v>0</v>
      </c>
      <c r="J200" s="177">
        <f t="shared" si="1023"/>
        <v>0</v>
      </c>
      <c r="K200" s="176">
        <f t="shared" si="1024"/>
        <v>0</v>
      </c>
      <c r="L200" s="177">
        <f t="shared" si="1025"/>
        <v>0</v>
      </c>
      <c r="M200" s="176">
        <f t="shared" si="1026"/>
        <v>0</v>
      </c>
      <c r="N200" s="177">
        <f t="shared" si="1027"/>
        <v>0</v>
      </c>
      <c r="O200" s="175"/>
      <c r="P200" s="178">
        <f t="shared" si="1075"/>
        <v>0</v>
      </c>
      <c r="Q200" s="174">
        <f t="shared" si="1076"/>
        <v>6864</v>
      </c>
      <c r="R200" s="174">
        <f t="shared" si="1077"/>
        <v>0</v>
      </c>
      <c r="S200" s="175"/>
      <c r="T200" s="176">
        <f t="shared" si="1031"/>
        <v>6864</v>
      </c>
      <c r="U200" s="67">
        <f t="shared" si="1032"/>
        <v>1</v>
      </c>
      <c r="V200" s="66">
        <f t="shared" si="1033"/>
        <v>0</v>
      </c>
      <c r="W200" s="67">
        <f t="shared" si="1034"/>
        <v>0</v>
      </c>
      <c r="X200" s="48"/>
      <c r="Y200" s="178">
        <f t="shared" si="1078"/>
        <v>1669</v>
      </c>
      <c r="Z200" s="178">
        <f t="shared" si="1079"/>
        <v>3456</v>
      </c>
      <c r="AA200" s="174">
        <f t="shared" si="1080"/>
        <v>10320</v>
      </c>
      <c r="AB200" s="95" t="str">
        <f t="shared" si="1081"/>
        <v/>
      </c>
      <c r="AC200" s="125"/>
      <c r="AD200" s="66">
        <f t="shared" si="1039"/>
        <v>8651</v>
      </c>
      <c r="AE200" s="67">
        <f t="shared" si="1040"/>
        <v>0.8382751938</v>
      </c>
      <c r="AF200" s="66">
        <f t="shared" si="1041"/>
        <v>-1669</v>
      </c>
      <c r="AG200" s="67">
        <f t="shared" si="1042"/>
        <v>0</v>
      </c>
      <c r="AH200" s="179"/>
      <c r="AI200" s="47" t="str">
        <f t="shared" si="1082"/>
        <v/>
      </c>
      <c r="AJ200" s="47" t="str">
        <f t="shared" ref="AJ200:AT200" si="1083">IFERROR(IF(AJ$3="A",CN200,IF(AJ$3="F",DB200,IF(AJ$3="B",BL200,0))),"")</f>
        <v/>
      </c>
      <c r="AK200" s="47" t="str">
        <f t="shared" si="1083"/>
        <v/>
      </c>
      <c r="AL200" s="47" t="str">
        <f t="shared" si="1083"/>
        <v/>
      </c>
      <c r="AM200" s="47" t="str">
        <f t="shared" si="1083"/>
        <v/>
      </c>
      <c r="AN200" s="47" t="str">
        <f t="shared" si="1083"/>
        <v/>
      </c>
      <c r="AO200" s="47" t="str">
        <f t="shared" si="1083"/>
        <v/>
      </c>
      <c r="AP200" s="47" t="str">
        <f t="shared" si="1083"/>
        <v/>
      </c>
      <c r="AQ200" s="47" t="str">
        <f t="shared" si="1083"/>
        <v/>
      </c>
      <c r="AR200" s="47">
        <f t="shared" si="1083"/>
        <v>0</v>
      </c>
      <c r="AS200" s="47">
        <f t="shared" si="1083"/>
        <v>839</v>
      </c>
      <c r="AT200" s="47">
        <f t="shared" si="1083"/>
        <v>830</v>
      </c>
      <c r="AU200" s="180">
        <f t="shared" si="1045"/>
        <v>1669</v>
      </c>
      <c r="AV200" s="127"/>
      <c r="AW200" s="47" t="str">
        <f t="shared" ref="AW200:BH200" si="1084">IFERROR(IF(AW$3="A",CM200,IF(AW$3="B",BK200)),0)</f>
        <v/>
      </c>
      <c r="AX200" s="47" t="str">
        <f t="shared" si="1084"/>
        <v/>
      </c>
      <c r="AY200" s="47" t="str">
        <f t="shared" si="1084"/>
        <v/>
      </c>
      <c r="AZ200" s="47" t="str">
        <f t="shared" si="1084"/>
        <v/>
      </c>
      <c r="BA200" s="47" t="str">
        <f t="shared" si="1084"/>
        <v/>
      </c>
      <c r="BB200" s="47" t="str">
        <f t="shared" si="1084"/>
        <v/>
      </c>
      <c r="BC200" s="47">
        <f t="shared" si="1084"/>
        <v>0</v>
      </c>
      <c r="BD200" s="47">
        <f t="shared" si="1084"/>
        <v>948</v>
      </c>
      <c r="BE200" s="47">
        <f t="shared" si="1084"/>
        <v>839</v>
      </c>
      <c r="BF200" s="47">
        <f t="shared" si="1084"/>
        <v>0</v>
      </c>
      <c r="BG200" s="47">
        <f t="shared" si="1084"/>
        <v>839</v>
      </c>
      <c r="BH200" s="47">
        <f t="shared" si="1084"/>
        <v>830</v>
      </c>
      <c r="BI200" s="180">
        <f t="shared" si="1047"/>
        <v>3456</v>
      </c>
      <c r="BJ200" s="179"/>
      <c r="BK200" s="128">
        <v>839.0</v>
      </c>
      <c r="BL200" s="128">
        <v>2534.0</v>
      </c>
      <c r="BM200" s="128">
        <v>957.0</v>
      </c>
      <c r="BN200" s="128">
        <v>0.0</v>
      </c>
      <c r="BO200" s="128">
        <v>2534.0</v>
      </c>
      <c r="BP200" s="128">
        <v>0.0</v>
      </c>
      <c r="BQ200" s="128">
        <v>0.0</v>
      </c>
      <c r="BR200" s="128">
        <v>948.0</v>
      </c>
      <c r="BS200" s="128">
        <v>839.0</v>
      </c>
      <c r="BT200" s="128">
        <v>0.0</v>
      </c>
      <c r="BU200" s="128">
        <v>839.0</v>
      </c>
      <c r="BV200" s="128">
        <v>830.0</v>
      </c>
      <c r="BW200" s="181">
        <v>10320.0</v>
      </c>
      <c r="BX200" s="182"/>
      <c r="BY200" s="47"/>
      <c r="BZ200" s="47"/>
      <c r="CA200" s="47"/>
      <c r="CB200" s="47"/>
      <c r="CC200" s="47"/>
      <c r="CD200" s="47"/>
      <c r="CE200" s="47"/>
      <c r="CF200" s="47"/>
      <c r="CG200" s="47"/>
      <c r="CH200" s="47"/>
      <c r="CI200" s="47"/>
      <c r="CJ200" s="47"/>
      <c r="CK200" s="180"/>
      <c r="CL200" s="178"/>
      <c r="CM200" s="47"/>
      <c r="CN200" s="47"/>
      <c r="CO200" s="47"/>
      <c r="CP200" s="47"/>
      <c r="CQ200" s="47"/>
      <c r="CR200" s="47"/>
      <c r="CS200" s="47"/>
      <c r="CT200" s="47"/>
      <c r="CU200" s="47"/>
      <c r="CV200" s="47"/>
      <c r="CW200" s="47"/>
      <c r="CX200" s="47"/>
      <c r="CY200" s="180"/>
      <c r="CZ200" s="183"/>
      <c r="DA200" s="178">
        <f t="shared" si="1085"/>
        <v>839</v>
      </c>
      <c r="DB200" s="178"/>
      <c r="DC200" s="178"/>
      <c r="DD200" s="178"/>
      <c r="DE200" s="47"/>
      <c r="DF200" s="47"/>
      <c r="DG200" s="47"/>
      <c r="DH200" s="47"/>
      <c r="DI200" s="47"/>
      <c r="DJ200" s="47"/>
      <c r="DK200" s="47"/>
      <c r="DL200" s="47"/>
      <c r="DM200" s="180">
        <f t="shared" si="1049"/>
        <v>839</v>
      </c>
      <c r="DN200" s="182"/>
      <c r="DO200" s="243"/>
      <c r="DP200" s="243"/>
      <c r="DQ200" s="131"/>
    </row>
    <row r="201" outlineLevel="1">
      <c r="A201" s="15"/>
      <c r="B201" s="240" t="s">
        <v>189</v>
      </c>
      <c r="C201" s="15"/>
      <c r="D201" s="222">
        <f t="shared" ref="D201:G201" si="1086">SUM(D202:D203)</f>
        <v>0</v>
      </c>
      <c r="E201" s="222">
        <f t="shared" si="1086"/>
        <v>0</v>
      </c>
      <c r="F201" s="222">
        <f t="shared" si="1086"/>
        <v>12670.682</v>
      </c>
      <c r="G201" s="222">
        <f t="shared" si="1086"/>
        <v>0</v>
      </c>
      <c r="H201" s="217"/>
      <c r="I201" s="241">
        <f t="shared" si="1022"/>
        <v>0</v>
      </c>
      <c r="J201" s="221">
        <f t="shared" si="1023"/>
        <v>0</v>
      </c>
      <c r="K201" s="241">
        <f t="shared" si="1024"/>
        <v>12670.682</v>
      </c>
      <c r="L201" s="221">
        <f t="shared" si="1025"/>
        <v>1</v>
      </c>
      <c r="M201" s="241">
        <f t="shared" si="1026"/>
        <v>0</v>
      </c>
      <c r="N201" s="221">
        <f t="shared" si="1027"/>
        <v>0</v>
      </c>
      <c r="O201" s="217"/>
      <c r="P201" s="65">
        <f t="shared" ref="P201:R201" si="1087">SUM(P202:P203)</f>
        <v>0</v>
      </c>
      <c r="Q201" s="222">
        <f t="shared" si="1087"/>
        <v>44556.269</v>
      </c>
      <c r="R201" s="222">
        <f t="shared" si="1087"/>
        <v>0</v>
      </c>
      <c r="S201" s="217"/>
      <c r="T201" s="241">
        <f t="shared" si="1031"/>
        <v>44556.269</v>
      </c>
      <c r="U201" s="60">
        <f t="shared" si="1032"/>
        <v>1</v>
      </c>
      <c r="V201" s="75">
        <f t="shared" si="1033"/>
        <v>0</v>
      </c>
      <c r="W201" s="60">
        <f t="shared" si="1034"/>
        <v>0</v>
      </c>
      <c r="X201" s="17"/>
      <c r="Y201" s="65">
        <f t="shared" ref="Y201:AB201" si="1088">SUM(Y202:Y203)</f>
        <v>15721.2</v>
      </c>
      <c r="Z201" s="65">
        <f t="shared" si="1088"/>
        <v>34622.221</v>
      </c>
      <c r="AA201" s="222">
        <f t="shared" si="1088"/>
        <v>79178.49</v>
      </c>
      <c r="AB201" s="65">
        <f t="shared" si="1088"/>
        <v>0</v>
      </c>
      <c r="AC201" s="17"/>
      <c r="AD201" s="75">
        <f t="shared" si="1039"/>
        <v>63457.29</v>
      </c>
      <c r="AE201" s="60">
        <f t="shared" si="1040"/>
        <v>0.8014460746</v>
      </c>
      <c r="AF201" s="75">
        <f t="shared" si="1041"/>
        <v>-15721.2</v>
      </c>
      <c r="AG201" s="60">
        <f t="shared" si="1042"/>
        <v>0</v>
      </c>
      <c r="AH201" s="242"/>
      <c r="AI201" s="65">
        <f t="shared" ref="AI201:AT201" si="1089">SUM(AI202:AI203)</f>
        <v>0</v>
      </c>
      <c r="AJ201" s="65">
        <f t="shared" si="1089"/>
        <v>0</v>
      </c>
      <c r="AK201" s="65">
        <f t="shared" si="1089"/>
        <v>0</v>
      </c>
      <c r="AL201" s="65">
        <f t="shared" si="1089"/>
        <v>0</v>
      </c>
      <c r="AM201" s="65">
        <f t="shared" si="1089"/>
        <v>0</v>
      </c>
      <c r="AN201" s="65">
        <f t="shared" si="1089"/>
        <v>0</v>
      </c>
      <c r="AO201" s="65">
        <f t="shared" si="1089"/>
        <v>0</v>
      </c>
      <c r="AP201" s="65">
        <f t="shared" si="1089"/>
        <v>0</v>
      </c>
      <c r="AQ201" s="65">
        <f t="shared" si="1089"/>
        <v>0</v>
      </c>
      <c r="AR201" s="65">
        <f t="shared" si="1089"/>
        <v>4168.37</v>
      </c>
      <c r="AS201" s="65">
        <f t="shared" si="1089"/>
        <v>6497.555</v>
      </c>
      <c r="AT201" s="65">
        <f t="shared" si="1089"/>
        <v>5055.275</v>
      </c>
      <c r="AU201" s="65">
        <f t="shared" si="1045"/>
        <v>15721.2</v>
      </c>
      <c r="AV201" s="11"/>
      <c r="AW201" s="65">
        <f t="shared" ref="AW201:BH201" si="1090">SUM(AW202:AW203)</f>
        <v>0</v>
      </c>
      <c r="AX201" s="65">
        <f t="shared" si="1090"/>
        <v>0</v>
      </c>
      <c r="AY201" s="65">
        <f t="shared" si="1090"/>
        <v>0</v>
      </c>
      <c r="AZ201" s="65">
        <f t="shared" si="1090"/>
        <v>0</v>
      </c>
      <c r="BA201" s="65">
        <f t="shared" si="1090"/>
        <v>0</v>
      </c>
      <c r="BB201" s="65">
        <f t="shared" si="1090"/>
        <v>0</v>
      </c>
      <c r="BC201" s="65">
        <f t="shared" si="1090"/>
        <v>4380.344</v>
      </c>
      <c r="BD201" s="65">
        <f t="shared" si="1090"/>
        <v>6264.925</v>
      </c>
      <c r="BE201" s="65">
        <f t="shared" si="1090"/>
        <v>8255.752</v>
      </c>
      <c r="BF201" s="65">
        <f t="shared" si="1090"/>
        <v>4168.37</v>
      </c>
      <c r="BG201" s="65">
        <f t="shared" si="1090"/>
        <v>6497.555</v>
      </c>
      <c r="BH201" s="65">
        <f t="shared" si="1090"/>
        <v>5055.275</v>
      </c>
      <c r="BI201" s="65">
        <f t="shared" si="1047"/>
        <v>34622.221</v>
      </c>
      <c r="BJ201" s="242"/>
      <c r="BK201" s="129">
        <v>5778.649</v>
      </c>
      <c r="BL201" s="129">
        <v>4027.086</v>
      </c>
      <c r="BM201" s="129">
        <v>8542.697</v>
      </c>
      <c r="BN201" s="129">
        <v>7735.633</v>
      </c>
      <c r="BO201" s="129">
        <v>5801.522</v>
      </c>
      <c r="BP201" s="129">
        <v>12670.682</v>
      </c>
      <c r="BQ201" s="129">
        <v>4380.344</v>
      </c>
      <c r="BR201" s="129">
        <v>6264.925</v>
      </c>
      <c r="BS201" s="129">
        <v>8255.752</v>
      </c>
      <c r="BT201" s="129">
        <v>4168.37</v>
      </c>
      <c r="BU201" s="129">
        <v>6497.555</v>
      </c>
      <c r="BV201" s="129">
        <v>5055.275</v>
      </c>
      <c r="BW201" s="129">
        <v>79178.49</v>
      </c>
      <c r="BX201" s="1"/>
      <c r="BY201" s="65"/>
      <c r="BZ201" s="65"/>
      <c r="CA201" s="65"/>
      <c r="CB201" s="65"/>
      <c r="CC201" s="65"/>
      <c r="CD201" s="65"/>
      <c r="CE201" s="65"/>
      <c r="CF201" s="65"/>
      <c r="CG201" s="65"/>
      <c r="CH201" s="65"/>
      <c r="CI201" s="65"/>
      <c r="CJ201" s="65"/>
      <c r="CK201" s="65"/>
      <c r="CL201" s="65"/>
      <c r="CM201" s="65"/>
      <c r="CN201" s="65"/>
      <c r="CO201" s="65"/>
      <c r="CP201" s="65"/>
      <c r="CQ201" s="65"/>
      <c r="CR201" s="65"/>
      <c r="CS201" s="65"/>
      <c r="CT201" s="65"/>
      <c r="CU201" s="65"/>
      <c r="CV201" s="65"/>
      <c r="CW201" s="65"/>
      <c r="CX201" s="65"/>
      <c r="CY201" s="65"/>
      <c r="CZ201" s="11"/>
      <c r="DA201" s="65">
        <f>SUM(DA202:DA203)</f>
        <v>5778.649</v>
      </c>
      <c r="DB201" s="65"/>
      <c r="DC201" s="65"/>
      <c r="DD201" s="65"/>
      <c r="DE201" s="65"/>
      <c r="DF201" s="65"/>
      <c r="DG201" s="65"/>
      <c r="DH201" s="65"/>
      <c r="DI201" s="65"/>
      <c r="DJ201" s="65"/>
      <c r="DK201" s="65"/>
      <c r="DL201" s="65"/>
      <c r="DM201" s="65">
        <f t="shared" si="1049"/>
        <v>5778.649</v>
      </c>
      <c r="DN201" s="1"/>
      <c r="DO201" s="224"/>
      <c r="DP201" s="224"/>
      <c r="DQ201" s="131"/>
    </row>
    <row r="202" outlineLevel="2">
      <c r="A202" s="15"/>
      <c r="B202" s="173" t="s">
        <v>190</v>
      </c>
      <c r="C202" s="124"/>
      <c r="D202" s="174">
        <f t="shared" ref="D202:D205" si="1093">SUMIFS($CM202:$CX202,$CM$35:$CX$35,$D$2)</f>
        <v>0</v>
      </c>
      <c r="E202" s="174">
        <f t="shared" ref="E202:E205" si="1094">SUMIFS($DA202:$DM202,$DA$35:$DM$35,$D$2)</f>
        <v>0</v>
      </c>
      <c r="F202" s="174">
        <f t="shared" ref="F202:F205" si="1095">SUMIFS($BK202:$BV202,$BK$35:$BV$35,$D$2)</f>
        <v>3227.527</v>
      </c>
      <c r="G202" s="174">
        <f t="shared" ref="G202:G205" si="1096">SUMIFS($BY202:$CJ202,$BY$35:$CJ$35,$D$2)</f>
        <v>0</v>
      </c>
      <c r="H202" s="175"/>
      <c r="I202" s="176">
        <f t="shared" si="1022"/>
        <v>0</v>
      </c>
      <c r="J202" s="177">
        <f t="shared" si="1023"/>
        <v>0</v>
      </c>
      <c r="K202" s="176">
        <f t="shared" si="1024"/>
        <v>3227.527</v>
      </c>
      <c r="L202" s="177">
        <f t="shared" si="1025"/>
        <v>1</v>
      </c>
      <c r="M202" s="176">
        <f t="shared" si="1026"/>
        <v>0</v>
      </c>
      <c r="N202" s="177">
        <f t="shared" si="1027"/>
        <v>0</v>
      </c>
      <c r="O202" s="175"/>
      <c r="P202" s="178">
        <f t="shared" ref="P202:P205" si="1097">SUMIFS($CM202:$CX202,$CM$35:$CX$35,$P$2)</f>
        <v>0</v>
      </c>
      <c r="Q202" s="174">
        <f t="shared" ref="Q202:Q205" si="1098">SUMIFS($BK202:$BV202,$BK$35:$BV$35,$P$2)</f>
        <v>12322.795</v>
      </c>
      <c r="R202" s="174">
        <f t="shared" ref="R202:R205" si="1099">SUMIFS($BY202:$CJ202,$BY$35:$CJ$35,$P$2)</f>
        <v>0</v>
      </c>
      <c r="S202" s="175"/>
      <c r="T202" s="176">
        <f t="shared" si="1031"/>
        <v>12322.795</v>
      </c>
      <c r="U202" s="67">
        <f t="shared" si="1032"/>
        <v>1</v>
      </c>
      <c r="V202" s="66">
        <f t="shared" si="1033"/>
        <v>0</v>
      </c>
      <c r="W202" s="67">
        <f t="shared" si="1034"/>
        <v>0</v>
      </c>
      <c r="X202" s="48"/>
      <c r="Y202" s="178">
        <f t="shared" ref="Y202:Y205" si="1100">$AU202</f>
        <v>8906.2</v>
      </c>
      <c r="Z202" s="178">
        <f t="shared" ref="Z202:Z205" si="1101">$BI202</f>
        <v>18724.221</v>
      </c>
      <c r="AA202" s="174">
        <f t="shared" ref="AA202:AA205" si="1102">$BW202</f>
        <v>31047.016</v>
      </c>
      <c r="AB202" s="95" t="str">
        <f t="shared" ref="AB202:AB205" si="1103">$CK202</f>
        <v/>
      </c>
      <c r="AC202" s="125"/>
      <c r="AD202" s="66">
        <f t="shared" si="1039"/>
        <v>22140.816</v>
      </c>
      <c r="AE202" s="67">
        <f t="shared" si="1040"/>
        <v>0.7131382932</v>
      </c>
      <c r="AF202" s="66">
        <f t="shared" si="1041"/>
        <v>-8906.2</v>
      </c>
      <c r="AG202" s="67">
        <f t="shared" si="1042"/>
        <v>0</v>
      </c>
      <c r="AH202" s="179"/>
      <c r="AI202" s="47" t="str">
        <f t="shared" ref="AI202:AI205" si="1104">IFERROR(IF(AI$3="A",CM202,IF(AI$3="F",DA202)),0)</f>
        <v/>
      </c>
      <c r="AJ202" s="47" t="str">
        <f t="shared" ref="AJ202:AT202" si="1091">IFERROR(IF(AJ$3="A",CN202,IF(AJ$3="F",DB202,IF(AJ$3="B",BL202,0))),"")</f>
        <v/>
      </c>
      <c r="AK202" s="47" t="str">
        <f t="shared" si="1091"/>
        <v/>
      </c>
      <c r="AL202" s="47" t="str">
        <f t="shared" si="1091"/>
        <v/>
      </c>
      <c r="AM202" s="47" t="str">
        <f t="shared" si="1091"/>
        <v/>
      </c>
      <c r="AN202" s="47" t="str">
        <f t="shared" si="1091"/>
        <v/>
      </c>
      <c r="AO202" s="47" t="str">
        <f t="shared" si="1091"/>
        <v/>
      </c>
      <c r="AP202" s="47" t="str">
        <f t="shared" si="1091"/>
        <v/>
      </c>
      <c r="AQ202" s="47" t="str">
        <f t="shared" si="1091"/>
        <v/>
      </c>
      <c r="AR202" s="47">
        <f t="shared" si="1091"/>
        <v>3511.37</v>
      </c>
      <c r="AS202" s="47">
        <f t="shared" si="1091"/>
        <v>2627.555</v>
      </c>
      <c r="AT202" s="47">
        <f t="shared" si="1091"/>
        <v>2767.275</v>
      </c>
      <c r="AU202" s="180">
        <f t="shared" si="1045"/>
        <v>8906.2</v>
      </c>
      <c r="AV202" s="127"/>
      <c r="AW202" s="47" t="str">
        <f t="shared" ref="AW202:BH202" si="1092">IFERROR(IF(AW$3="A",CM202,IF(AW$3="B",BK202)),0)</f>
        <v/>
      </c>
      <c r="AX202" s="47" t="str">
        <f t="shared" si="1092"/>
        <v/>
      </c>
      <c r="AY202" s="47" t="str">
        <f t="shared" si="1092"/>
        <v/>
      </c>
      <c r="AZ202" s="47" t="str">
        <f t="shared" si="1092"/>
        <v/>
      </c>
      <c r="BA202" s="47" t="str">
        <f t="shared" si="1092"/>
        <v/>
      </c>
      <c r="BB202" s="47" t="str">
        <f t="shared" si="1092"/>
        <v/>
      </c>
      <c r="BC202" s="47">
        <f t="shared" si="1092"/>
        <v>3159.344</v>
      </c>
      <c r="BD202" s="47">
        <f t="shared" si="1092"/>
        <v>3450.925</v>
      </c>
      <c r="BE202" s="47">
        <f t="shared" si="1092"/>
        <v>3207.752</v>
      </c>
      <c r="BF202" s="47">
        <f t="shared" si="1092"/>
        <v>3511.37</v>
      </c>
      <c r="BG202" s="47">
        <f t="shared" si="1092"/>
        <v>2627.555</v>
      </c>
      <c r="BH202" s="47">
        <f t="shared" si="1092"/>
        <v>2767.275</v>
      </c>
      <c r="BI202" s="180">
        <f t="shared" si="1047"/>
        <v>18724.221</v>
      </c>
      <c r="BJ202" s="179"/>
      <c r="BK202" s="128">
        <v>1743.649</v>
      </c>
      <c r="BL202" s="128">
        <v>1811.086</v>
      </c>
      <c r="BM202" s="128">
        <v>2107.627</v>
      </c>
      <c r="BN202" s="128">
        <v>1578.586</v>
      </c>
      <c r="BO202" s="128">
        <v>1854.32</v>
      </c>
      <c r="BP202" s="128">
        <v>3227.527</v>
      </c>
      <c r="BQ202" s="128">
        <v>3159.344</v>
      </c>
      <c r="BR202" s="128">
        <v>3450.925</v>
      </c>
      <c r="BS202" s="128">
        <v>3207.752</v>
      </c>
      <c r="BT202" s="128">
        <v>3511.37</v>
      </c>
      <c r="BU202" s="128">
        <v>2627.555</v>
      </c>
      <c r="BV202" s="128">
        <v>2767.275</v>
      </c>
      <c r="BW202" s="181">
        <v>31047.016</v>
      </c>
      <c r="BX202" s="182"/>
      <c r="BY202" s="47"/>
      <c r="BZ202" s="47"/>
      <c r="CA202" s="47"/>
      <c r="CB202" s="47"/>
      <c r="CC202" s="47"/>
      <c r="CD202" s="47"/>
      <c r="CE202" s="47"/>
      <c r="CF202" s="47"/>
      <c r="CG202" s="47"/>
      <c r="CH202" s="47"/>
      <c r="CI202" s="47"/>
      <c r="CJ202" s="47"/>
      <c r="CK202" s="180"/>
      <c r="CL202" s="178"/>
      <c r="CM202" s="47"/>
      <c r="CN202" s="47"/>
      <c r="CO202" s="47"/>
      <c r="CP202" s="47"/>
      <c r="CQ202" s="47"/>
      <c r="CR202" s="47"/>
      <c r="CS202" s="47"/>
      <c r="CT202" s="47"/>
      <c r="CU202" s="47"/>
      <c r="CV202" s="47"/>
      <c r="CW202" s="47"/>
      <c r="CX202" s="47"/>
      <c r="CY202" s="180"/>
      <c r="CZ202" s="183"/>
      <c r="DA202" s="178">
        <f t="shared" ref="DA202:DA205" si="1107">BK202</f>
        <v>1743.649</v>
      </c>
      <c r="DB202" s="178"/>
      <c r="DC202" s="178"/>
      <c r="DD202" s="178"/>
      <c r="DE202" s="47"/>
      <c r="DF202" s="47"/>
      <c r="DG202" s="47"/>
      <c r="DH202" s="47"/>
      <c r="DI202" s="47"/>
      <c r="DJ202" s="47"/>
      <c r="DK202" s="47"/>
      <c r="DL202" s="47"/>
      <c r="DM202" s="180">
        <f t="shared" si="1049"/>
        <v>1743.649</v>
      </c>
      <c r="DN202" s="182"/>
      <c r="DO202" s="243"/>
      <c r="DP202" s="243"/>
      <c r="DQ202" s="131"/>
    </row>
    <row r="203" outlineLevel="2">
      <c r="A203" s="15"/>
      <c r="B203" s="244" t="s">
        <v>191</v>
      </c>
      <c r="C203" s="124"/>
      <c r="D203" s="174">
        <f t="shared" si="1093"/>
        <v>0</v>
      </c>
      <c r="E203" s="174">
        <f t="shared" si="1094"/>
        <v>0</v>
      </c>
      <c r="F203" s="174">
        <f t="shared" si="1095"/>
        <v>9443.155</v>
      </c>
      <c r="G203" s="174">
        <f t="shared" si="1096"/>
        <v>0</v>
      </c>
      <c r="H203" s="175"/>
      <c r="I203" s="176">
        <f t="shared" si="1022"/>
        <v>0</v>
      </c>
      <c r="J203" s="177">
        <f t="shared" si="1023"/>
        <v>0</v>
      </c>
      <c r="K203" s="176">
        <f t="shared" si="1024"/>
        <v>9443.155</v>
      </c>
      <c r="L203" s="177">
        <f t="shared" si="1025"/>
        <v>1</v>
      </c>
      <c r="M203" s="176">
        <f t="shared" si="1026"/>
        <v>0</v>
      </c>
      <c r="N203" s="177">
        <f t="shared" si="1027"/>
        <v>0</v>
      </c>
      <c r="O203" s="175"/>
      <c r="P203" s="178">
        <f t="shared" si="1097"/>
        <v>0</v>
      </c>
      <c r="Q203" s="174">
        <f t="shared" si="1098"/>
        <v>32233.474</v>
      </c>
      <c r="R203" s="174">
        <f t="shared" si="1099"/>
        <v>0</v>
      </c>
      <c r="S203" s="175"/>
      <c r="T203" s="176">
        <f t="shared" si="1031"/>
        <v>32233.474</v>
      </c>
      <c r="U203" s="67">
        <f t="shared" si="1032"/>
        <v>1</v>
      </c>
      <c r="V203" s="66">
        <f t="shared" si="1033"/>
        <v>0</v>
      </c>
      <c r="W203" s="67">
        <f t="shared" si="1034"/>
        <v>0</v>
      </c>
      <c r="X203" s="48"/>
      <c r="Y203" s="178">
        <f t="shared" si="1100"/>
        <v>6815</v>
      </c>
      <c r="Z203" s="178">
        <f t="shared" si="1101"/>
        <v>15898</v>
      </c>
      <c r="AA203" s="174">
        <f t="shared" si="1102"/>
        <v>48131.474</v>
      </c>
      <c r="AB203" s="95" t="str">
        <f t="shared" si="1103"/>
        <v/>
      </c>
      <c r="AC203" s="125"/>
      <c r="AD203" s="66">
        <f t="shared" si="1039"/>
        <v>41316.474</v>
      </c>
      <c r="AE203" s="67">
        <f t="shared" si="1040"/>
        <v>0.8584086579</v>
      </c>
      <c r="AF203" s="66">
        <f t="shared" si="1041"/>
        <v>-6815</v>
      </c>
      <c r="AG203" s="67">
        <f t="shared" si="1042"/>
        <v>0</v>
      </c>
      <c r="AH203" s="179"/>
      <c r="AI203" s="47" t="str">
        <f t="shared" si="1104"/>
        <v/>
      </c>
      <c r="AJ203" s="47" t="str">
        <f t="shared" ref="AJ203:AT203" si="1105">IFERROR(IF(AJ$3="A",CN203,IF(AJ$3="F",DB203,IF(AJ$3="B",BL203,0))),"")</f>
        <v/>
      </c>
      <c r="AK203" s="47" t="str">
        <f t="shared" si="1105"/>
        <v/>
      </c>
      <c r="AL203" s="47" t="str">
        <f t="shared" si="1105"/>
        <v/>
      </c>
      <c r="AM203" s="47" t="str">
        <f t="shared" si="1105"/>
        <v/>
      </c>
      <c r="AN203" s="47" t="str">
        <f t="shared" si="1105"/>
        <v/>
      </c>
      <c r="AO203" s="47" t="str">
        <f t="shared" si="1105"/>
        <v/>
      </c>
      <c r="AP203" s="47" t="str">
        <f t="shared" si="1105"/>
        <v/>
      </c>
      <c r="AQ203" s="47" t="str">
        <f t="shared" si="1105"/>
        <v/>
      </c>
      <c r="AR203" s="47">
        <f t="shared" si="1105"/>
        <v>657</v>
      </c>
      <c r="AS203" s="47">
        <f t="shared" si="1105"/>
        <v>3870</v>
      </c>
      <c r="AT203" s="47">
        <f t="shared" si="1105"/>
        <v>2288</v>
      </c>
      <c r="AU203" s="180">
        <f t="shared" si="1045"/>
        <v>6815</v>
      </c>
      <c r="AV203" s="127"/>
      <c r="AW203" s="47" t="str">
        <f t="shared" ref="AW203:BH203" si="1106">IFERROR(IF(AW$3="A",CM203,IF(AW$3="B",BK203)),0)</f>
        <v/>
      </c>
      <c r="AX203" s="47" t="str">
        <f t="shared" si="1106"/>
        <v/>
      </c>
      <c r="AY203" s="47" t="str">
        <f t="shared" si="1106"/>
        <v/>
      </c>
      <c r="AZ203" s="47" t="str">
        <f t="shared" si="1106"/>
        <v/>
      </c>
      <c r="BA203" s="47" t="str">
        <f t="shared" si="1106"/>
        <v/>
      </c>
      <c r="BB203" s="47" t="str">
        <f t="shared" si="1106"/>
        <v/>
      </c>
      <c r="BC203" s="47">
        <f t="shared" si="1106"/>
        <v>1221</v>
      </c>
      <c r="BD203" s="47">
        <f t="shared" si="1106"/>
        <v>2814</v>
      </c>
      <c r="BE203" s="47">
        <f t="shared" si="1106"/>
        <v>5048</v>
      </c>
      <c r="BF203" s="47">
        <f t="shared" si="1106"/>
        <v>657</v>
      </c>
      <c r="BG203" s="47">
        <f t="shared" si="1106"/>
        <v>3870</v>
      </c>
      <c r="BH203" s="47">
        <f t="shared" si="1106"/>
        <v>2288</v>
      </c>
      <c r="BI203" s="180">
        <f t="shared" si="1047"/>
        <v>15898</v>
      </c>
      <c r="BJ203" s="179"/>
      <c r="BK203" s="128">
        <v>4035.0</v>
      </c>
      <c r="BL203" s="128">
        <v>2216.0</v>
      </c>
      <c r="BM203" s="128">
        <v>6435.07</v>
      </c>
      <c r="BN203" s="128">
        <v>6157.047</v>
      </c>
      <c r="BO203" s="128">
        <v>3947.202</v>
      </c>
      <c r="BP203" s="128">
        <v>9443.155</v>
      </c>
      <c r="BQ203" s="128">
        <v>1221.0</v>
      </c>
      <c r="BR203" s="128">
        <v>2814.0</v>
      </c>
      <c r="BS203" s="128">
        <v>5048.0</v>
      </c>
      <c r="BT203" s="128">
        <v>657.0</v>
      </c>
      <c r="BU203" s="128">
        <v>3870.0</v>
      </c>
      <c r="BV203" s="128">
        <v>2288.0</v>
      </c>
      <c r="BW203" s="181">
        <v>48131.474</v>
      </c>
      <c r="BX203" s="182"/>
      <c r="BY203" s="47"/>
      <c r="BZ203" s="47"/>
      <c r="CA203" s="47"/>
      <c r="CB203" s="47"/>
      <c r="CC203" s="47"/>
      <c r="CD203" s="47"/>
      <c r="CE203" s="47"/>
      <c r="CF203" s="47"/>
      <c r="CG203" s="47"/>
      <c r="CH203" s="47"/>
      <c r="CI203" s="47"/>
      <c r="CJ203" s="47"/>
      <c r="CK203" s="180"/>
      <c r="CL203" s="178"/>
      <c r="CM203" s="47"/>
      <c r="CN203" s="47"/>
      <c r="CO203" s="47"/>
      <c r="CP203" s="47"/>
      <c r="CQ203" s="47"/>
      <c r="CR203" s="47"/>
      <c r="CS203" s="47"/>
      <c r="CT203" s="47"/>
      <c r="CU203" s="47"/>
      <c r="CV203" s="47"/>
      <c r="CW203" s="47"/>
      <c r="CX203" s="47"/>
      <c r="CY203" s="180"/>
      <c r="CZ203" s="183"/>
      <c r="DA203" s="178">
        <f t="shared" si="1107"/>
        <v>4035</v>
      </c>
      <c r="DB203" s="178"/>
      <c r="DC203" s="178"/>
      <c r="DD203" s="178"/>
      <c r="DE203" s="47"/>
      <c r="DF203" s="47"/>
      <c r="DG203" s="47"/>
      <c r="DH203" s="47"/>
      <c r="DI203" s="47"/>
      <c r="DJ203" s="47"/>
      <c r="DK203" s="47"/>
      <c r="DL203" s="47"/>
      <c r="DM203" s="180">
        <f t="shared" si="1049"/>
        <v>4035</v>
      </c>
      <c r="DN203" s="182"/>
      <c r="DO203" s="243"/>
      <c r="DP203" s="243"/>
      <c r="DQ203" s="131"/>
    </row>
    <row r="204" outlineLevel="1">
      <c r="A204" s="15"/>
      <c r="B204" s="1" t="s">
        <v>192</v>
      </c>
      <c r="C204" s="15"/>
      <c r="D204" s="225">
        <f t="shared" si="1093"/>
        <v>0</v>
      </c>
      <c r="E204" s="225">
        <f t="shared" si="1094"/>
        <v>0</v>
      </c>
      <c r="F204" s="225">
        <f t="shared" si="1095"/>
        <v>0</v>
      </c>
      <c r="G204" s="225">
        <f t="shared" si="1096"/>
        <v>0</v>
      </c>
      <c r="H204" s="175"/>
      <c r="I204" s="176">
        <f t="shared" si="1022"/>
        <v>0</v>
      </c>
      <c r="J204" s="177">
        <f t="shared" si="1023"/>
        <v>0</v>
      </c>
      <c r="K204" s="176">
        <f t="shared" si="1024"/>
        <v>0</v>
      </c>
      <c r="L204" s="177">
        <f t="shared" si="1025"/>
        <v>0</v>
      </c>
      <c r="M204" s="176">
        <f t="shared" si="1026"/>
        <v>0</v>
      </c>
      <c r="N204" s="177">
        <f t="shared" si="1027"/>
        <v>0</v>
      </c>
      <c r="O204" s="175"/>
      <c r="P204" s="47">
        <f t="shared" si="1097"/>
        <v>0</v>
      </c>
      <c r="Q204" s="225">
        <f t="shared" si="1098"/>
        <v>0</v>
      </c>
      <c r="R204" s="225">
        <f t="shared" si="1099"/>
        <v>0</v>
      </c>
      <c r="S204" s="175"/>
      <c r="T204" s="176">
        <f t="shared" si="1031"/>
        <v>0</v>
      </c>
      <c r="U204" s="67">
        <f t="shared" si="1032"/>
        <v>0</v>
      </c>
      <c r="V204" s="66">
        <f t="shared" si="1033"/>
        <v>0</v>
      </c>
      <c r="W204" s="67">
        <f t="shared" si="1034"/>
        <v>0</v>
      </c>
      <c r="X204" s="48"/>
      <c r="Y204" s="47">
        <f t="shared" si="1100"/>
        <v>0</v>
      </c>
      <c r="Z204" s="47">
        <f t="shared" si="1101"/>
        <v>0</v>
      </c>
      <c r="AA204" s="225">
        <f t="shared" si="1102"/>
        <v>0</v>
      </c>
      <c r="AB204" s="95" t="str">
        <f t="shared" si="1103"/>
        <v/>
      </c>
      <c r="AC204" s="17"/>
      <c r="AD204" s="66">
        <f t="shared" si="1039"/>
        <v>0</v>
      </c>
      <c r="AE204" s="67">
        <f t="shared" si="1040"/>
        <v>0</v>
      </c>
      <c r="AF204" s="66">
        <f t="shared" si="1041"/>
        <v>0</v>
      </c>
      <c r="AG204" s="67">
        <f t="shared" si="1042"/>
        <v>0</v>
      </c>
      <c r="AH204" s="117"/>
      <c r="AI204" s="47" t="str">
        <f t="shared" si="1104"/>
        <v/>
      </c>
      <c r="AJ204" s="47" t="str">
        <f t="shared" ref="AJ204:AT204" si="1108">IFERROR(IF(AJ$3="A",CN204,IF(AJ$3="F",DB204,IF(AJ$3="B",BL204,0))),"")</f>
        <v/>
      </c>
      <c r="AK204" s="47" t="str">
        <f t="shared" si="1108"/>
        <v/>
      </c>
      <c r="AL204" s="47" t="str">
        <f t="shared" si="1108"/>
        <v/>
      </c>
      <c r="AM204" s="47" t="str">
        <f t="shared" si="1108"/>
        <v/>
      </c>
      <c r="AN204" s="47" t="str">
        <f t="shared" si="1108"/>
        <v/>
      </c>
      <c r="AO204" s="47" t="str">
        <f t="shared" si="1108"/>
        <v/>
      </c>
      <c r="AP204" s="47" t="str">
        <f t="shared" si="1108"/>
        <v/>
      </c>
      <c r="AQ204" s="47" t="str">
        <f t="shared" si="1108"/>
        <v/>
      </c>
      <c r="AR204" s="47" t="str">
        <f t="shared" si="1108"/>
        <v/>
      </c>
      <c r="AS204" s="47" t="str">
        <f t="shared" si="1108"/>
        <v/>
      </c>
      <c r="AT204" s="47" t="str">
        <f t="shared" si="1108"/>
        <v/>
      </c>
      <c r="AU204" s="65">
        <f t="shared" si="1045"/>
        <v>0</v>
      </c>
      <c r="AV204" s="11"/>
      <c r="AW204" s="47" t="str">
        <f t="shared" ref="AW204:BH204" si="1109">IFERROR(IF(AW$3="A",CM204,IF(AW$3="B",BK204)),0)</f>
        <v/>
      </c>
      <c r="AX204" s="47" t="str">
        <f t="shared" si="1109"/>
        <v/>
      </c>
      <c r="AY204" s="47" t="str">
        <f t="shared" si="1109"/>
        <v/>
      </c>
      <c r="AZ204" s="47" t="str">
        <f t="shared" si="1109"/>
        <v/>
      </c>
      <c r="BA204" s="47" t="str">
        <f t="shared" si="1109"/>
        <v/>
      </c>
      <c r="BB204" s="47" t="str">
        <f t="shared" si="1109"/>
        <v/>
      </c>
      <c r="BC204" s="47" t="str">
        <f t="shared" si="1109"/>
        <v/>
      </c>
      <c r="BD204" s="47" t="str">
        <f t="shared" si="1109"/>
        <v/>
      </c>
      <c r="BE204" s="47" t="str">
        <f t="shared" si="1109"/>
        <v/>
      </c>
      <c r="BF204" s="47" t="str">
        <f t="shared" si="1109"/>
        <v/>
      </c>
      <c r="BG204" s="47" t="str">
        <f t="shared" si="1109"/>
        <v/>
      </c>
      <c r="BH204" s="47" t="str">
        <f t="shared" si="1109"/>
        <v/>
      </c>
      <c r="BI204" s="65">
        <f t="shared" si="1047"/>
        <v>0</v>
      </c>
      <c r="BJ204" s="117"/>
      <c r="BK204" s="47"/>
      <c r="BL204" s="47"/>
      <c r="BM204" s="47"/>
      <c r="BN204" s="47"/>
      <c r="BO204" s="47"/>
      <c r="BP204" s="47"/>
      <c r="BQ204" s="47"/>
      <c r="BR204" s="47"/>
      <c r="BS204" s="47"/>
      <c r="BT204" s="47"/>
      <c r="BU204" s="47"/>
      <c r="BV204" s="47"/>
      <c r="BW204" s="129">
        <v>0.0</v>
      </c>
      <c r="BX204" s="1"/>
      <c r="BY204" s="47"/>
      <c r="BZ204" s="47"/>
      <c r="CA204" s="47"/>
      <c r="CB204" s="47"/>
      <c r="CC204" s="47"/>
      <c r="CD204" s="47"/>
      <c r="CE204" s="47"/>
      <c r="CF204" s="47"/>
      <c r="CG204" s="47"/>
      <c r="CH204" s="47"/>
      <c r="CI204" s="47"/>
      <c r="CJ204" s="47"/>
      <c r="CK204" s="65"/>
      <c r="CL204" s="47"/>
      <c r="CM204" s="47"/>
      <c r="CN204" s="47"/>
      <c r="CO204" s="47"/>
      <c r="CP204" s="47"/>
      <c r="CQ204" s="47"/>
      <c r="CR204" s="47"/>
      <c r="CS204" s="47"/>
      <c r="CT204" s="47"/>
      <c r="CU204" s="47"/>
      <c r="CV204" s="47"/>
      <c r="CW204" s="47"/>
      <c r="CX204" s="47"/>
      <c r="CY204" s="65"/>
      <c r="CZ204" s="11"/>
      <c r="DA204" s="95" t="str">
        <f t="shared" si="1107"/>
        <v/>
      </c>
      <c r="DB204" s="95"/>
      <c r="DC204" s="95"/>
      <c r="DD204" s="95"/>
      <c r="DE204" s="95"/>
      <c r="DF204" s="95"/>
      <c r="DG204" s="95"/>
      <c r="DH204" s="95"/>
      <c r="DI204" s="95"/>
      <c r="DJ204" s="95"/>
      <c r="DK204" s="95"/>
      <c r="DL204" s="95"/>
      <c r="DM204" s="65">
        <f t="shared" si="1049"/>
        <v>0</v>
      </c>
      <c r="DN204" s="1"/>
      <c r="DO204" s="130"/>
      <c r="DP204" s="130"/>
      <c r="DQ204" s="131"/>
    </row>
    <row r="205" outlineLevel="1">
      <c r="A205" s="15"/>
      <c r="B205" s="1" t="s">
        <v>193</v>
      </c>
      <c r="C205" s="15"/>
      <c r="D205" s="225">
        <f t="shared" si="1093"/>
        <v>0</v>
      </c>
      <c r="E205" s="225">
        <f t="shared" si="1094"/>
        <v>0</v>
      </c>
      <c r="F205" s="225">
        <f t="shared" si="1095"/>
        <v>0</v>
      </c>
      <c r="G205" s="225">
        <f t="shared" si="1096"/>
        <v>0</v>
      </c>
      <c r="H205" s="175"/>
      <c r="I205" s="176">
        <f t="shared" si="1022"/>
        <v>0</v>
      </c>
      <c r="J205" s="177">
        <f t="shared" si="1023"/>
        <v>0</v>
      </c>
      <c r="K205" s="176">
        <f t="shared" si="1024"/>
        <v>0</v>
      </c>
      <c r="L205" s="177">
        <f t="shared" si="1025"/>
        <v>0</v>
      </c>
      <c r="M205" s="176">
        <f t="shared" si="1026"/>
        <v>0</v>
      </c>
      <c r="N205" s="177">
        <f t="shared" si="1027"/>
        <v>0</v>
      </c>
      <c r="O205" s="175"/>
      <c r="P205" s="47">
        <f t="shared" si="1097"/>
        <v>0</v>
      </c>
      <c r="Q205" s="225">
        <f t="shared" si="1098"/>
        <v>0</v>
      </c>
      <c r="R205" s="225">
        <f t="shared" si="1099"/>
        <v>0</v>
      </c>
      <c r="S205" s="175"/>
      <c r="T205" s="176">
        <f t="shared" si="1031"/>
        <v>0</v>
      </c>
      <c r="U205" s="67">
        <f t="shared" si="1032"/>
        <v>0</v>
      </c>
      <c r="V205" s="66">
        <f t="shared" si="1033"/>
        <v>0</v>
      </c>
      <c r="W205" s="67">
        <f t="shared" si="1034"/>
        <v>0</v>
      </c>
      <c r="X205" s="48"/>
      <c r="Y205" s="47">
        <f t="shared" si="1100"/>
        <v>0</v>
      </c>
      <c r="Z205" s="47">
        <f t="shared" si="1101"/>
        <v>0</v>
      </c>
      <c r="AA205" s="225">
        <f t="shared" si="1102"/>
        <v>0</v>
      </c>
      <c r="AB205" s="95" t="str">
        <f t="shared" si="1103"/>
        <v/>
      </c>
      <c r="AC205" s="17"/>
      <c r="AD205" s="66">
        <f t="shared" si="1039"/>
        <v>0</v>
      </c>
      <c r="AE205" s="67">
        <f t="shared" si="1040"/>
        <v>0</v>
      </c>
      <c r="AF205" s="66">
        <f t="shared" si="1041"/>
        <v>0</v>
      </c>
      <c r="AG205" s="67">
        <f t="shared" si="1042"/>
        <v>0</v>
      </c>
      <c r="AH205" s="117"/>
      <c r="AI205" s="47" t="str">
        <f t="shared" si="1104"/>
        <v/>
      </c>
      <c r="AJ205" s="47" t="str">
        <f t="shared" ref="AJ205:AT205" si="1110">IFERROR(IF(AJ$3="A",CN205,IF(AJ$3="F",DB205,IF(AJ$3="B",BL205,0))),"")</f>
        <v/>
      </c>
      <c r="AK205" s="47" t="str">
        <f t="shared" si="1110"/>
        <v/>
      </c>
      <c r="AL205" s="47" t="str">
        <f t="shared" si="1110"/>
        <v/>
      </c>
      <c r="AM205" s="47" t="str">
        <f t="shared" si="1110"/>
        <v/>
      </c>
      <c r="AN205" s="47" t="str">
        <f t="shared" si="1110"/>
        <v/>
      </c>
      <c r="AO205" s="47" t="str">
        <f t="shared" si="1110"/>
        <v/>
      </c>
      <c r="AP205" s="47" t="str">
        <f t="shared" si="1110"/>
        <v/>
      </c>
      <c r="AQ205" s="47" t="str">
        <f t="shared" si="1110"/>
        <v/>
      </c>
      <c r="AR205" s="47" t="str">
        <f t="shared" si="1110"/>
        <v/>
      </c>
      <c r="AS205" s="47" t="str">
        <f t="shared" si="1110"/>
        <v/>
      </c>
      <c r="AT205" s="47" t="str">
        <f t="shared" si="1110"/>
        <v/>
      </c>
      <c r="AU205" s="65">
        <f t="shared" si="1045"/>
        <v>0</v>
      </c>
      <c r="AV205" s="11"/>
      <c r="AW205" s="47" t="str">
        <f t="shared" ref="AW205:BH205" si="1111">IFERROR(IF(AW$3="A",CM205,IF(AW$3="B",BK205)),0)</f>
        <v/>
      </c>
      <c r="AX205" s="47" t="str">
        <f t="shared" si="1111"/>
        <v/>
      </c>
      <c r="AY205" s="47" t="str">
        <f t="shared" si="1111"/>
        <v/>
      </c>
      <c r="AZ205" s="47" t="str">
        <f t="shared" si="1111"/>
        <v/>
      </c>
      <c r="BA205" s="47" t="str">
        <f t="shared" si="1111"/>
        <v/>
      </c>
      <c r="BB205" s="47" t="str">
        <f t="shared" si="1111"/>
        <v/>
      </c>
      <c r="BC205" s="47" t="str">
        <f t="shared" si="1111"/>
        <v/>
      </c>
      <c r="BD205" s="47" t="str">
        <f t="shared" si="1111"/>
        <v/>
      </c>
      <c r="BE205" s="47" t="str">
        <f t="shared" si="1111"/>
        <v/>
      </c>
      <c r="BF205" s="47" t="str">
        <f t="shared" si="1111"/>
        <v/>
      </c>
      <c r="BG205" s="47" t="str">
        <f t="shared" si="1111"/>
        <v/>
      </c>
      <c r="BH205" s="47" t="str">
        <f t="shared" si="1111"/>
        <v/>
      </c>
      <c r="BI205" s="65">
        <f t="shared" si="1047"/>
        <v>0</v>
      </c>
      <c r="BJ205" s="117"/>
      <c r="BK205" s="47"/>
      <c r="BL205" s="47"/>
      <c r="BM205" s="47"/>
      <c r="BN205" s="47"/>
      <c r="BO205" s="47"/>
      <c r="BP205" s="47"/>
      <c r="BQ205" s="47"/>
      <c r="BR205" s="47"/>
      <c r="BS205" s="47"/>
      <c r="BT205" s="47"/>
      <c r="BU205" s="47"/>
      <c r="BV205" s="47"/>
      <c r="BW205" s="129">
        <v>0.0</v>
      </c>
      <c r="BX205" s="1"/>
      <c r="BY205" s="47"/>
      <c r="BZ205" s="47"/>
      <c r="CA205" s="47"/>
      <c r="CB205" s="47"/>
      <c r="CC205" s="47"/>
      <c r="CD205" s="47"/>
      <c r="CE205" s="47"/>
      <c r="CF205" s="47"/>
      <c r="CG205" s="47"/>
      <c r="CH205" s="47"/>
      <c r="CI205" s="47"/>
      <c r="CJ205" s="47"/>
      <c r="CK205" s="65"/>
      <c r="CL205" s="47"/>
      <c r="CM205" s="47"/>
      <c r="CN205" s="47"/>
      <c r="CO205" s="47"/>
      <c r="CP205" s="47"/>
      <c r="CQ205" s="47"/>
      <c r="CR205" s="47"/>
      <c r="CS205" s="47"/>
      <c r="CT205" s="47"/>
      <c r="CU205" s="47"/>
      <c r="CV205" s="47"/>
      <c r="CW205" s="47"/>
      <c r="CX205" s="47"/>
      <c r="CY205" s="65"/>
      <c r="CZ205" s="11"/>
      <c r="DA205" s="95" t="str">
        <f t="shared" si="1107"/>
        <v/>
      </c>
      <c r="DB205" s="95"/>
      <c r="DC205" s="95"/>
      <c r="DD205" s="95"/>
      <c r="DE205" s="95"/>
      <c r="DF205" s="95"/>
      <c r="DG205" s="95"/>
      <c r="DH205" s="95"/>
      <c r="DI205" s="95"/>
      <c r="DJ205" s="95"/>
      <c r="DK205" s="95"/>
      <c r="DL205" s="95"/>
      <c r="DM205" s="65">
        <f t="shared" si="1049"/>
        <v>0</v>
      </c>
      <c r="DN205" s="1"/>
      <c r="DO205" s="130"/>
      <c r="DP205" s="130"/>
      <c r="DQ205" s="131"/>
    </row>
    <row r="206" outlineLevel="1">
      <c r="A206" s="15"/>
      <c r="B206" s="245" t="s">
        <v>194</v>
      </c>
      <c r="C206" s="15"/>
      <c r="D206" s="222">
        <f t="shared" ref="D206:G206" si="1112">SUM(D207:D220)</f>
        <v>0</v>
      </c>
      <c r="E206" s="222">
        <f t="shared" si="1112"/>
        <v>0</v>
      </c>
      <c r="F206" s="222">
        <f t="shared" si="1112"/>
        <v>2477</v>
      </c>
      <c r="G206" s="222">
        <f t="shared" si="1112"/>
        <v>0</v>
      </c>
      <c r="H206" s="217"/>
      <c r="I206" s="241">
        <f t="shared" si="1022"/>
        <v>0</v>
      </c>
      <c r="J206" s="221">
        <f t="shared" si="1023"/>
        <v>0</v>
      </c>
      <c r="K206" s="241">
        <f t="shared" si="1024"/>
        <v>2477</v>
      </c>
      <c r="L206" s="221">
        <f t="shared" si="1025"/>
        <v>1</v>
      </c>
      <c r="M206" s="241">
        <f t="shared" si="1026"/>
        <v>0</v>
      </c>
      <c r="N206" s="221">
        <f t="shared" si="1027"/>
        <v>0</v>
      </c>
      <c r="O206" s="217"/>
      <c r="P206" s="65">
        <f t="shared" ref="P206:R206" si="1113">SUM(P207:P220)</f>
        <v>0</v>
      </c>
      <c r="Q206" s="222">
        <f t="shared" si="1113"/>
        <v>28429.348</v>
      </c>
      <c r="R206" s="222">
        <f t="shared" si="1113"/>
        <v>0</v>
      </c>
      <c r="S206" s="217"/>
      <c r="T206" s="241">
        <f t="shared" si="1031"/>
        <v>28429.348</v>
      </c>
      <c r="U206" s="60">
        <f t="shared" si="1032"/>
        <v>1</v>
      </c>
      <c r="V206" s="75">
        <f t="shared" si="1033"/>
        <v>0</v>
      </c>
      <c r="W206" s="60">
        <f t="shared" si="1034"/>
        <v>0</v>
      </c>
      <c r="X206" s="17"/>
      <c r="Y206" s="65">
        <f t="shared" ref="Y206:AB206" si="1114">SUM(Y207:Y220)</f>
        <v>12442.674</v>
      </c>
      <c r="Z206" s="65">
        <f t="shared" si="1114"/>
        <v>22762.348</v>
      </c>
      <c r="AA206" s="222">
        <f t="shared" si="1114"/>
        <v>51191.696</v>
      </c>
      <c r="AB206" s="65">
        <f t="shared" si="1114"/>
        <v>0</v>
      </c>
      <c r="AC206" s="17"/>
      <c r="AD206" s="75">
        <f t="shared" si="1039"/>
        <v>38749.022</v>
      </c>
      <c r="AE206" s="60">
        <f t="shared" si="1040"/>
        <v>0.7569396021</v>
      </c>
      <c r="AF206" s="75">
        <f t="shared" si="1041"/>
        <v>-12442.674</v>
      </c>
      <c r="AG206" s="60">
        <f t="shared" si="1042"/>
        <v>0</v>
      </c>
      <c r="AH206" s="242"/>
      <c r="AI206" s="65">
        <f t="shared" ref="AI206:AT206" si="1115">SUM(AI207:AI220)</f>
        <v>0</v>
      </c>
      <c r="AJ206" s="65">
        <f t="shared" si="1115"/>
        <v>0</v>
      </c>
      <c r="AK206" s="65">
        <f t="shared" si="1115"/>
        <v>0</v>
      </c>
      <c r="AL206" s="65">
        <f t="shared" si="1115"/>
        <v>0</v>
      </c>
      <c r="AM206" s="65">
        <f t="shared" si="1115"/>
        <v>0</v>
      </c>
      <c r="AN206" s="65">
        <f t="shared" si="1115"/>
        <v>0</v>
      </c>
      <c r="AO206" s="65">
        <f t="shared" si="1115"/>
        <v>0</v>
      </c>
      <c r="AP206" s="65">
        <f t="shared" si="1115"/>
        <v>0</v>
      </c>
      <c r="AQ206" s="65">
        <f t="shared" si="1115"/>
        <v>0</v>
      </c>
      <c r="AR206" s="65">
        <f t="shared" si="1115"/>
        <v>6903.674</v>
      </c>
      <c r="AS206" s="65">
        <f t="shared" si="1115"/>
        <v>3868</v>
      </c>
      <c r="AT206" s="65">
        <f t="shared" si="1115"/>
        <v>1671</v>
      </c>
      <c r="AU206" s="65">
        <f t="shared" si="1045"/>
        <v>12442.674</v>
      </c>
      <c r="AV206" s="11"/>
      <c r="AW206" s="65">
        <f t="shared" ref="AW206:BH206" si="1116">SUM(AW207:AW220)</f>
        <v>0</v>
      </c>
      <c r="AX206" s="65">
        <f t="shared" si="1116"/>
        <v>0</v>
      </c>
      <c r="AY206" s="65">
        <f t="shared" si="1116"/>
        <v>0</v>
      </c>
      <c r="AZ206" s="65">
        <f t="shared" si="1116"/>
        <v>0</v>
      </c>
      <c r="BA206" s="65">
        <f t="shared" si="1116"/>
        <v>0</v>
      </c>
      <c r="BB206" s="65">
        <f t="shared" si="1116"/>
        <v>0</v>
      </c>
      <c r="BC206" s="65">
        <f t="shared" si="1116"/>
        <v>2871.674</v>
      </c>
      <c r="BD206" s="65">
        <f t="shared" si="1116"/>
        <v>2908</v>
      </c>
      <c r="BE206" s="65">
        <f t="shared" si="1116"/>
        <v>4540</v>
      </c>
      <c r="BF206" s="65">
        <f t="shared" si="1116"/>
        <v>6903.674</v>
      </c>
      <c r="BG206" s="65">
        <f t="shared" si="1116"/>
        <v>3868</v>
      </c>
      <c r="BH206" s="65">
        <f t="shared" si="1116"/>
        <v>1671</v>
      </c>
      <c r="BI206" s="65">
        <f t="shared" si="1047"/>
        <v>22762.348</v>
      </c>
      <c r="BJ206" s="242"/>
      <c r="BK206" s="129">
        <v>5215.674</v>
      </c>
      <c r="BL206" s="129">
        <v>5235.0</v>
      </c>
      <c r="BM206" s="129">
        <v>4979.0</v>
      </c>
      <c r="BN206" s="129">
        <v>5603.674</v>
      </c>
      <c r="BO206" s="129">
        <v>4919.0</v>
      </c>
      <c r="BP206" s="129">
        <v>2477.0</v>
      </c>
      <c r="BQ206" s="129">
        <v>2871.674</v>
      </c>
      <c r="BR206" s="129">
        <v>2908.0</v>
      </c>
      <c r="BS206" s="129">
        <v>4540.0</v>
      </c>
      <c r="BT206" s="129">
        <v>6903.674</v>
      </c>
      <c r="BU206" s="129">
        <v>3868.0</v>
      </c>
      <c r="BV206" s="129">
        <v>1671.0</v>
      </c>
      <c r="BW206" s="129">
        <v>51191.696</v>
      </c>
      <c r="BX206" s="1"/>
      <c r="BY206" s="65"/>
      <c r="BZ206" s="65"/>
      <c r="CA206" s="65"/>
      <c r="CB206" s="65"/>
      <c r="CC206" s="65"/>
      <c r="CD206" s="65"/>
      <c r="CE206" s="65"/>
      <c r="CF206" s="65"/>
      <c r="CG206" s="65"/>
      <c r="CH206" s="65"/>
      <c r="CI206" s="65"/>
      <c r="CJ206" s="65"/>
      <c r="CK206" s="65"/>
      <c r="CL206" s="65"/>
      <c r="CM206" s="65"/>
      <c r="CN206" s="65"/>
      <c r="CO206" s="65"/>
      <c r="CP206" s="65"/>
      <c r="CQ206" s="65"/>
      <c r="CR206" s="65"/>
      <c r="CS206" s="65"/>
      <c r="CT206" s="65"/>
      <c r="CU206" s="65"/>
      <c r="CV206" s="65"/>
      <c r="CW206" s="65"/>
      <c r="CX206" s="65"/>
      <c r="CY206" s="65"/>
      <c r="CZ206" s="11"/>
      <c r="DA206" s="65">
        <f>SUM(DA207:DA220)</f>
        <v>5215.674</v>
      </c>
      <c r="DB206" s="65"/>
      <c r="DC206" s="65"/>
      <c r="DD206" s="65"/>
      <c r="DE206" s="65"/>
      <c r="DF206" s="65"/>
      <c r="DG206" s="65"/>
      <c r="DH206" s="65"/>
      <c r="DI206" s="65"/>
      <c r="DJ206" s="65"/>
      <c r="DK206" s="65"/>
      <c r="DL206" s="65"/>
      <c r="DM206" s="65">
        <f t="shared" si="1049"/>
        <v>5215.674</v>
      </c>
      <c r="DN206" s="1"/>
      <c r="DO206" s="224"/>
      <c r="DP206" s="224"/>
      <c r="DQ206" s="131"/>
    </row>
    <row r="207" outlineLevel="2">
      <c r="A207" s="15"/>
      <c r="B207" s="173" t="s">
        <v>195</v>
      </c>
      <c r="C207" s="124"/>
      <c r="D207" s="174">
        <f t="shared" ref="D207:D222" si="1119">SUMIFS($CM207:$CX207,$CM$35:$CX$35,$D$2)</f>
        <v>0</v>
      </c>
      <c r="E207" s="174">
        <f t="shared" ref="E207:E222" si="1120">SUMIFS($DA207:$DM207,$DA$35:$DM$35,$D$2)</f>
        <v>0</v>
      </c>
      <c r="F207" s="174">
        <f t="shared" ref="F207:F222" si="1121">SUMIFS($BK207:$BV207,$BK$35:$BV$35,$D$2)</f>
        <v>500</v>
      </c>
      <c r="G207" s="174">
        <f t="shared" ref="G207:G222" si="1122">SUMIFS($BY207:$CJ207,$BY$35:$CJ$35,$D$2)</f>
        <v>0</v>
      </c>
      <c r="H207" s="175"/>
      <c r="I207" s="176">
        <f t="shared" si="1022"/>
        <v>0</v>
      </c>
      <c r="J207" s="177">
        <f t="shared" si="1023"/>
        <v>0</v>
      </c>
      <c r="K207" s="176">
        <f t="shared" si="1024"/>
        <v>500</v>
      </c>
      <c r="L207" s="177">
        <f t="shared" si="1025"/>
        <v>1</v>
      </c>
      <c r="M207" s="176">
        <f t="shared" si="1026"/>
        <v>0</v>
      </c>
      <c r="N207" s="177">
        <f t="shared" si="1027"/>
        <v>0</v>
      </c>
      <c r="O207" s="175"/>
      <c r="P207" s="178">
        <f t="shared" ref="P207:P222" si="1123">SUMIFS($CM207:$CX207,$CM$35:$CX$35,$P$2)</f>
        <v>0</v>
      </c>
      <c r="Q207" s="174">
        <f t="shared" ref="Q207:Q222" si="1124">SUMIFS($BK207:$BV207,$BK$35:$BV$35,$P$2)</f>
        <v>5863</v>
      </c>
      <c r="R207" s="174">
        <f t="shared" ref="R207:R222" si="1125">SUMIFS($BY207:$CJ207,$BY$35:$CJ$35,$P$2)</f>
        <v>0</v>
      </c>
      <c r="S207" s="175"/>
      <c r="T207" s="176">
        <f t="shared" si="1031"/>
        <v>5863</v>
      </c>
      <c r="U207" s="67">
        <f t="shared" si="1032"/>
        <v>1</v>
      </c>
      <c r="V207" s="66">
        <f t="shared" si="1033"/>
        <v>0</v>
      </c>
      <c r="W207" s="67">
        <f t="shared" si="1034"/>
        <v>0</v>
      </c>
      <c r="X207" s="48"/>
      <c r="Y207" s="178">
        <f t="shared" ref="Y207:Y222" si="1126">$AU207</f>
        <v>2500</v>
      </c>
      <c r="Z207" s="178">
        <f t="shared" ref="Z207:Z222" si="1127">$BI207</f>
        <v>5000</v>
      </c>
      <c r="AA207" s="174">
        <f t="shared" ref="AA207:AA222" si="1128">$BW207</f>
        <v>10863</v>
      </c>
      <c r="AB207" s="95" t="str">
        <f t="shared" ref="AB207:AB222" si="1129">$CK207</f>
        <v/>
      </c>
      <c r="AC207" s="125"/>
      <c r="AD207" s="66">
        <f t="shared" si="1039"/>
        <v>8363</v>
      </c>
      <c r="AE207" s="67">
        <f t="shared" si="1040"/>
        <v>0.769860996</v>
      </c>
      <c r="AF207" s="66">
        <f t="shared" si="1041"/>
        <v>-2500</v>
      </c>
      <c r="AG207" s="67">
        <f t="shared" si="1042"/>
        <v>0</v>
      </c>
      <c r="AH207" s="179"/>
      <c r="AI207" s="47" t="str">
        <f t="shared" ref="AI207:AI222" si="1130">IFERROR(IF(AI$3="A",CM207,IF(AI$3="F",DA207)),0)</f>
        <v/>
      </c>
      <c r="AJ207" s="47" t="str">
        <f t="shared" ref="AJ207:AT207" si="1117">IFERROR(IF(AJ$3="A",CN207,IF(AJ$3="F",DB207,IF(AJ$3="B",BL207,0))),"")</f>
        <v/>
      </c>
      <c r="AK207" s="47" t="str">
        <f t="shared" si="1117"/>
        <v/>
      </c>
      <c r="AL207" s="47" t="str">
        <f t="shared" si="1117"/>
        <v/>
      </c>
      <c r="AM207" s="47" t="str">
        <f t="shared" si="1117"/>
        <v/>
      </c>
      <c r="AN207" s="47" t="str">
        <f t="shared" si="1117"/>
        <v/>
      </c>
      <c r="AO207" s="47" t="str">
        <f t="shared" si="1117"/>
        <v/>
      </c>
      <c r="AP207" s="47" t="str">
        <f t="shared" si="1117"/>
        <v/>
      </c>
      <c r="AQ207" s="47" t="str">
        <f t="shared" si="1117"/>
        <v/>
      </c>
      <c r="AR207" s="47">
        <f t="shared" si="1117"/>
        <v>1200</v>
      </c>
      <c r="AS207" s="47">
        <f t="shared" si="1117"/>
        <v>1000</v>
      </c>
      <c r="AT207" s="47">
        <f t="shared" si="1117"/>
        <v>300</v>
      </c>
      <c r="AU207" s="180">
        <f t="shared" si="1045"/>
        <v>2500</v>
      </c>
      <c r="AV207" s="127"/>
      <c r="AW207" s="47" t="str">
        <f t="shared" ref="AW207:BH207" si="1118">IFERROR(IF(AW$3="A",CM207,IF(AW$3="B",BK207)),0)</f>
        <v/>
      </c>
      <c r="AX207" s="47" t="str">
        <f t="shared" si="1118"/>
        <v/>
      </c>
      <c r="AY207" s="47" t="str">
        <f t="shared" si="1118"/>
        <v/>
      </c>
      <c r="AZ207" s="47" t="str">
        <f t="shared" si="1118"/>
        <v/>
      </c>
      <c r="BA207" s="47" t="str">
        <f t="shared" si="1118"/>
        <v/>
      </c>
      <c r="BB207" s="47" t="str">
        <f t="shared" si="1118"/>
        <v/>
      </c>
      <c r="BC207" s="47">
        <f t="shared" si="1118"/>
        <v>500</v>
      </c>
      <c r="BD207" s="47">
        <f t="shared" si="1118"/>
        <v>500</v>
      </c>
      <c r="BE207" s="47">
        <f t="shared" si="1118"/>
        <v>1500</v>
      </c>
      <c r="BF207" s="47">
        <f t="shared" si="1118"/>
        <v>1200</v>
      </c>
      <c r="BG207" s="47">
        <f t="shared" si="1118"/>
        <v>1000</v>
      </c>
      <c r="BH207" s="47">
        <f t="shared" si="1118"/>
        <v>300</v>
      </c>
      <c r="BI207" s="180">
        <f t="shared" si="1047"/>
        <v>5000</v>
      </c>
      <c r="BJ207" s="179"/>
      <c r="BK207" s="128">
        <v>500.0</v>
      </c>
      <c r="BL207" s="128">
        <v>1200.0</v>
      </c>
      <c r="BM207" s="128">
        <v>1500.0</v>
      </c>
      <c r="BN207" s="128">
        <v>1500.0</v>
      </c>
      <c r="BO207" s="128">
        <v>663.0</v>
      </c>
      <c r="BP207" s="128">
        <v>500.0</v>
      </c>
      <c r="BQ207" s="128">
        <v>500.0</v>
      </c>
      <c r="BR207" s="128">
        <v>500.0</v>
      </c>
      <c r="BS207" s="128">
        <v>1500.0</v>
      </c>
      <c r="BT207" s="128">
        <v>1200.0</v>
      </c>
      <c r="BU207" s="128">
        <v>1000.0</v>
      </c>
      <c r="BV207" s="128">
        <v>300.0</v>
      </c>
      <c r="BW207" s="181">
        <v>10863.0</v>
      </c>
      <c r="BX207" s="182"/>
      <c r="BY207" s="47"/>
      <c r="BZ207" s="47"/>
      <c r="CA207" s="47"/>
      <c r="CB207" s="47"/>
      <c r="CC207" s="47"/>
      <c r="CD207" s="47"/>
      <c r="CE207" s="47"/>
      <c r="CF207" s="47"/>
      <c r="CG207" s="47"/>
      <c r="CH207" s="47"/>
      <c r="CI207" s="47"/>
      <c r="CJ207" s="47"/>
      <c r="CK207" s="180"/>
      <c r="CL207" s="178"/>
      <c r="CM207" s="47"/>
      <c r="CN207" s="47"/>
      <c r="CO207" s="47"/>
      <c r="CP207" s="47"/>
      <c r="CQ207" s="47"/>
      <c r="CR207" s="47"/>
      <c r="CS207" s="47"/>
      <c r="CT207" s="47"/>
      <c r="CU207" s="47"/>
      <c r="CV207" s="47"/>
      <c r="CW207" s="47"/>
      <c r="CX207" s="47"/>
      <c r="CY207" s="180"/>
      <c r="CZ207" s="183"/>
      <c r="DA207" s="178">
        <f t="shared" ref="DA207:DA222" si="1133">BK207</f>
        <v>500</v>
      </c>
      <c r="DB207" s="178"/>
      <c r="DC207" s="178"/>
      <c r="DD207" s="178"/>
      <c r="DE207" s="47"/>
      <c r="DF207" s="47"/>
      <c r="DG207" s="47"/>
      <c r="DH207" s="47"/>
      <c r="DI207" s="47"/>
      <c r="DJ207" s="47"/>
      <c r="DK207" s="47"/>
      <c r="DL207" s="47"/>
      <c r="DM207" s="180">
        <f t="shared" si="1049"/>
        <v>500</v>
      </c>
      <c r="DN207" s="182"/>
      <c r="DO207" s="243"/>
      <c r="DP207" s="243"/>
      <c r="DQ207" s="131"/>
    </row>
    <row r="208" outlineLevel="2">
      <c r="A208" s="15"/>
      <c r="B208" s="173" t="s">
        <v>196</v>
      </c>
      <c r="C208" s="124"/>
      <c r="D208" s="174">
        <f t="shared" si="1119"/>
        <v>0</v>
      </c>
      <c r="E208" s="174">
        <f t="shared" si="1120"/>
        <v>0</v>
      </c>
      <c r="F208" s="174">
        <f t="shared" si="1121"/>
        <v>813</v>
      </c>
      <c r="G208" s="174">
        <f t="shared" si="1122"/>
        <v>0</v>
      </c>
      <c r="H208" s="175"/>
      <c r="I208" s="176">
        <f t="shared" si="1022"/>
        <v>0</v>
      </c>
      <c r="J208" s="177">
        <f t="shared" si="1023"/>
        <v>0</v>
      </c>
      <c r="K208" s="176">
        <f t="shared" si="1024"/>
        <v>813</v>
      </c>
      <c r="L208" s="177">
        <f t="shared" si="1025"/>
        <v>1</v>
      </c>
      <c r="M208" s="176">
        <f t="shared" si="1026"/>
        <v>0</v>
      </c>
      <c r="N208" s="177">
        <f t="shared" si="1027"/>
        <v>0</v>
      </c>
      <c r="O208" s="175"/>
      <c r="P208" s="178">
        <f t="shared" si="1123"/>
        <v>0</v>
      </c>
      <c r="Q208" s="174">
        <f t="shared" si="1124"/>
        <v>1756</v>
      </c>
      <c r="R208" s="174">
        <f t="shared" si="1125"/>
        <v>0</v>
      </c>
      <c r="S208" s="175"/>
      <c r="T208" s="176">
        <f t="shared" si="1031"/>
        <v>1756</v>
      </c>
      <c r="U208" s="67">
        <f t="shared" si="1032"/>
        <v>1</v>
      </c>
      <c r="V208" s="66">
        <f t="shared" si="1033"/>
        <v>0</v>
      </c>
      <c r="W208" s="67">
        <f t="shared" si="1034"/>
        <v>0</v>
      </c>
      <c r="X208" s="48"/>
      <c r="Y208" s="178">
        <f t="shared" si="1126"/>
        <v>996</v>
      </c>
      <c r="Z208" s="178">
        <f t="shared" si="1127"/>
        <v>2707</v>
      </c>
      <c r="AA208" s="174">
        <f t="shared" si="1128"/>
        <v>4463</v>
      </c>
      <c r="AB208" s="95" t="str">
        <f t="shared" si="1129"/>
        <v/>
      </c>
      <c r="AC208" s="125"/>
      <c r="AD208" s="66">
        <f t="shared" si="1039"/>
        <v>3467</v>
      </c>
      <c r="AE208" s="67">
        <f t="shared" si="1040"/>
        <v>0.7768317275</v>
      </c>
      <c r="AF208" s="66">
        <f t="shared" si="1041"/>
        <v>-996</v>
      </c>
      <c r="AG208" s="67">
        <f t="shared" si="1042"/>
        <v>0</v>
      </c>
      <c r="AH208" s="179"/>
      <c r="AI208" s="47" t="str">
        <f t="shared" si="1130"/>
        <v/>
      </c>
      <c r="AJ208" s="47" t="str">
        <f t="shared" ref="AJ208:AT208" si="1131">IFERROR(IF(AJ$3="A",CN208,IF(AJ$3="F",DB208,IF(AJ$3="B",BL208,0))),"")</f>
        <v/>
      </c>
      <c r="AK208" s="47" t="str">
        <f t="shared" si="1131"/>
        <v/>
      </c>
      <c r="AL208" s="47" t="str">
        <f t="shared" si="1131"/>
        <v/>
      </c>
      <c r="AM208" s="47" t="str">
        <f t="shared" si="1131"/>
        <v/>
      </c>
      <c r="AN208" s="47" t="str">
        <f t="shared" si="1131"/>
        <v/>
      </c>
      <c r="AO208" s="47" t="str">
        <f t="shared" si="1131"/>
        <v/>
      </c>
      <c r="AP208" s="47" t="str">
        <f t="shared" si="1131"/>
        <v/>
      </c>
      <c r="AQ208" s="47" t="str">
        <f t="shared" si="1131"/>
        <v/>
      </c>
      <c r="AR208" s="47">
        <f t="shared" si="1131"/>
        <v>395</v>
      </c>
      <c r="AS208" s="47">
        <f t="shared" si="1131"/>
        <v>401</v>
      </c>
      <c r="AT208" s="47">
        <f t="shared" si="1131"/>
        <v>200</v>
      </c>
      <c r="AU208" s="180">
        <f t="shared" si="1045"/>
        <v>996</v>
      </c>
      <c r="AV208" s="127"/>
      <c r="AW208" s="47" t="str">
        <f t="shared" ref="AW208:BH208" si="1132">IFERROR(IF(AW$3="A",CM208,IF(AW$3="B",BK208)),0)</f>
        <v/>
      </c>
      <c r="AX208" s="47" t="str">
        <f t="shared" si="1132"/>
        <v/>
      </c>
      <c r="AY208" s="47" t="str">
        <f t="shared" si="1132"/>
        <v/>
      </c>
      <c r="AZ208" s="47" t="str">
        <f t="shared" si="1132"/>
        <v/>
      </c>
      <c r="BA208" s="47" t="str">
        <f t="shared" si="1132"/>
        <v/>
      </c>
      <c r="BB208" s="47" t="str">
        <f t="shared" si="1132"/>
        <v/>
      </c>
      <c r="BC208" s="47">
        <f t="shared" si="1132"/>
        <v>303</v>
      </c>
      <c r="BD208" s="47">
        <f t="shared" si="1132"/>
        <v>208</v>
      </c>
      <c r="BE208" s="47">
        <f t="shared" si="1132"/>
        <v>1200</v>
      </c>
      <c r="BF208" s="47">
        <f t="shared" si="1132"/>
        <v>395</v>
      </c>
      <c r="BG208" s="47">
        <f t="shared" si="1132"/>
        <v>401</v>
      </c>
      <c r="BH208" s="47">
        <f t="shared" si="1132"/>
        <v>200</v>
      </c>
      <c r="BI208" s="180">
        <f t="shared" si="1047"/>
        <v>2707</v>
      </c>
      <c r="BJ208" s="179"/>
      <c r="BK208" s="128">
        <v>75.0</v>
      </c>
      <c r="BL208" s="128">
        <v>598.0</v>
      </c>
      <c r="BM208" s="128">
        <v>129.0</v>
      </c>
      <c r="BN208" s="128">
        <v>85.0</v>
      </c>
      <c r="BO208" s="128">
        <v>56.0</v>
      </c>
      <c r="BP208" s="128">
        <v>813.0</v>
      </c>
      <c r="BQ208" s="128">
        <v>303.0</v>
      </c>
      <c r="BR208" s="128">
        <v>208.0</v>
      </c>
      <c r="BS208" s="128">
        <v>1200.0</v>
      </c>
      <c r="BT208" s="128">
        <v>395.0</v>
      </c>
      <c r="BU208" s="128">
        <v>401.0</v>
      </c>
      <c r="BV208" s="128">
        <v>200.0</v>
      </c>
      <c r="BW208" s="181">
        <v>4463.0</v>
      </c>
      <c r="BX208" s="182"/>
      <c r="BY208" s="47"/>
      <c r="BZ208" s="47"/>
      <c r="CA208" s="47"/>
      <c r="CB208" s="47"/>
      <c r="CC208" s="47"/>
      <c r="CD208" s="47"/>
      <c r="CE208" s="47"/>
      <c r="CF208" s="47"/>
      <c r="CG208" s="47"/>
      <c r="CH208" s="47"/>
      <c r="CI208" s="47"/>
      <c r="CJ208" s="47"/>
      <c r="CK208" s="180"/>
      <c r="CL208" s="178"/>
      <c r="CM208" s="47"/>
      <c r="CN208" s="47"/>
      <c r="CO208" s="47"/>
      <c r="CP208" s="47"/>
      <c r="CQ208" s="47"/>
      <c r="CR208" s="47"/>
      <c r="CS208" s="47"/>
      <c r="CT208" s="47"/>
      <c r="CU208" s="47"/>
      <c r="CV208" s="47"/>
      <c r="CW208" s="47"/>
      <c r="CX208" s="47"/>
      <c r="CY208" s="180"/>
      <c r="CZ208" s="183"/>
      <c r="DA208" s="178">
        <f t="shared" si="1133"/>
        <v>75</v>
      </c>
      <c r="DB208" s="178"/>
      <c r="DC208" s="178"/>
      <c r="DD208" s="178"/>
      <c r="DE208" s="47"/>
      <c r="DF208" s="47"/>
      <c r="DG208" s="47"/>
      <c r="DH208" s="47"/>
      <c r="DI208" s="47"/>
      <c r="DJ208" s="47"/>
      <c r="DK208" s="47"/>
      <c r="DL208" s="47"/>
      <c r="DM208" s="180">
        <f t="shared" si="1049"/>
        <v>75</v>
      </c>
      <c r="DN208" s="182"/>
      <c r="DO208" s="243"/>
      <c r="DP208" s="243"/>
      <c r="DQ208" s="131"/>
    </row>
    <row r="209" outlineLevel="2">
      <c r="A209" s="15"/>
      <c r="B209" s="244" t="s">
        <v>197</v>
      </c>
      <c r="C209" s="124"/>
      <c r="D209" s="174">
        <f t="shared" si="1119"/>
        <v>0</v>
      </c>
      <c r="E209" s="174">
        <f t="shared" si="1120"/>
        <v>0</v>
      </c>
      <c r="F209" s="174">
        <f t="shared" si="1121"/>
        <v>50</v>
      </c>
      <c r="G209" s="174">
        <f t="shared" si="1122"/>
        <v>0</v>
      </c>
      <c r="H209" s="175"/>
      <c r="I209" s="176">
        <f t="shared" si="1022"/>
        <v>0</v>
      </c>
      <c r="J209" s="177">
        <f t="shared" si="1023"/>
        <v>0</v>
      </c>
      <c r="K209" s="176">
        <f t="shared" si="1024"/>
        <v>50</v>
      </c>
      <c r="L209" s="177">
        <f t="shared" si="1025"/>
        <v>1</v>
      </c>
      <c r="M209" s="176">
        <f t="shared" si="1026"/>
        <v>0</v>
      </c>
      <c r="N209" s="177">
        <f t="shared" si="1027"/>
        <v>0</v>
      </c>
      <c r="O209" s="175"/>
      <c r="P209" s="178">
        <f t="shared" si="1123"/>
        <v>0</v>
      </c>
      <c r="Q209" s="174">
        <f t="shared" si="1124"/>
        <v>1595.348</v>
      </c>
      <c r="R209" s="174">
        <f t="shared" si="1125"/>
        <v>0</v>
      </c>
      <c r="S209" s="175"/>
      <c r="T209" s="176">
        <f t="shared" si="1031"/>
        <v>1595.348</v>
      </c>
      <c r="U209" s="67">
        <f t="shared" si="1032"/>
        <v>1</v>
      </c>
      <c r="V209" s="66">
        <f t="shared" si="1033"/>
        <v>0</v>
      </c>
      <c r="W209" s="67">
        <f t="shared" si="1034"/>
        <v>0</v>
      </c>
      <c r="X209" s="48"/>
      <c r="Y209" s="178">
        <f t="shared" si="1126"/>
        <v>797.674</v>
      </c>
      <c r="Z209" s="178">
        <f t="shared" si="1127"/>
        <v>1595.348</v>
      </c>
      <c r="AA209" s="174">
        <f t="shared" si="1128"/>
        <v>3190.696</v>
      </c>
      <c r="AB209" s="95" t="str">
        <f t="shared" si="1129"/>
        <v/>
      </c>
      <c r="AC209" s="125"/>
      <c r="AD209" s="66">
        <f t="shared" si="1039"/>
        <v>2393.022</v>
      </c>
      <c r="AE209" s="67">
        <f t="shared" si="1040"/>
        <v>0.75</v>
      </c>
      <c r="AF209" s="66">
        <f t="shared" si="1041"/>
        <v>-797.674</v>
      </c>
      <c r="AG209" s="67">
        <f t="shared" si="1042"/>
        <v>0</v>
      </c>
      <c r="AH209" s="179"/>
      <c r="AI209" s="47" t="str">
        <f t="shared" si="1130"/>
        <v/>
      </c>
      <c r="AJ209" s="47" t="str">
        <f t="shared" ref="AJ209:AT209" si="1134">IFERROR(IF(AJ$3="A",CN209,IF(AJ$3="F",DB209,IF(AJ$3="B",BL209,0))),"")</f>
        <v/>
      </c>
      <c r="AK209" s="47" t="str">
        <f t="shared" si="1134"/>
        <v/>
      </c>
      <c r="AL209" s="47" t="str">
        <f t="shared" si="1134"/>
        <v/>
      </c>
      <c r="AM209" s="47" t="str">
        <f t="shared" si="1134"/>
        <v/>
      </c>
      <c r="AN209" s="47" t="str">
        <f t="shared" si="1134"/>
        <v/>
      </c>
      <c r="AO209" s="47" t="str">
        <f t="shared" si="1134"/>
        <v/>
      </c>
      <c r="AP209" s="47" t="str">
        <f t="shared" si="1134"/>
        <v/>
      </c>
      <c r="AQ209" s="47" t="str">
        <f t="shared" si="1134"/>
        <v/>
      </c>
      <c r="AR209" s="47">
        <f t="shared" si="1134"/>
        <v>697.674</v>
      </c>
      <c r="AS209" s="47">
        <f t="shared" si="1134"/>
        <v>50</v>
      </c>
      <c r="AT209" s="47">
        <f t="shared" si="1134"/>
        <v>50</v>
      </c>
      <c r="AU209" s="180">
        <f t="shared" si="1045"/>
        <v>797.674</v>
      </c>
      <c r="AV209" s="127"/>
      <c r="AW209" s="47" t="str">
        <f t="shared" ref="AW209:BH209" si="1135">IFERROR(IF(AW$3="A",CM209,IF(AW$3="B",BK209)),0)</f>
        <v/>
      </c>
      <c r="AX209" s="47" t="str">
        <f t="shared" si="1135"/>
        <v/>
      </c>
      <c r="AY209" s="47" t="str">
        <f t="shared" si="1135"/>
        <v/>
      </c>
      <c r="AZ209" s="47" t="str">
        <f t="shared" si="1135"/>
        <v/>
      </c>
      <c r="BA209" s="47" t="str">
        <f t="shared" si="1135"/>
        <v/>
      </c>
      <c r="BB209" s="47" t="str">
        <f t="shared" si="1135"/>
        <v/>
      </c>
      <c r="BC209" s="47">
        <f t="shared" si="1135"/>
        <v>697.674</v>
      </c>
      <c r="BD209" s="47">
        <f t="shared" si="1135"/>
        <v>50</v>
      </c>
      <c r="BE209" s="47">
        <f t="shared" si="1135"/>
        <v>50</v>
      </c>
      <c r="BF209" s="47">
        <f t="shared" si="1135"/>
        <v>697.674</v>
      </c>
      <c r="BG209" s="47">
        <f t="shared" si="1135"/>
        <v>50</v>
      </c>
      <c r="BH209" s="47">
        <f t="shared" si="1135"/>
        <v>50</v>
      </c>
      <c r="BI209" s="180">
        <f t="shared" si="1047"/>
        <v>1595.348</v>
      </c>
      <c r="BJ209" s="179"/>
      <c r="BK209" s="128">
        <v>697.674</v>
      </c>
      <c r="BL209" s="128">
        <v>50.0</v>
      </c>
      <c r="BM209" s="128">
        <v>50.0</v>
      </c>
      <c r="BN209" s="128">
        <v>697.674</v>
      </c>
      <c r="BO209" s="128">
        <v>50.0</v>
      </c>
      <c r="BP209" s="128">
        <v>50.0</v>
      </c>
      <c r="BQ209" s="128">
        <v>697.674</v>
      </c>
      <c r="BR209" s="128">
        <v>50.0</v>
      </c>
      <c r="BS209" s="128">
        <v>50.0</v>
      </c>
      <c r="BT209" s="128">
        <v>697.674</v>
      </c>
      <c r="BU209" s="128">
        <v>50.0</v>
      </c>
      <c r="BV209" s="128">
        <v>50.0</v>
      </c>
      <c r="BW209" s="181">
        <v>3190.696</v>
      </c>
      <c r="BX209" s="182"/>
      <c r="BY209" s="47"/>
      <c r="BZ209" s="47"/>
      <c r="CA209" s="47"/>
      <c r="CB209" s="47"/>
      <c r="CC209" s="47"/>
      <c r="CD209" s="47"/>
      <c r="CE209" s="47"/>
      <c r="CF209" s="47"/>
      <c r="CG209" s="47"/>
      <c r="CH209" s="47"/>
      <c r="CI209" s="47"/>
      <c r="CJ209" s="47"/>
      <c r="CK209" s="180"/>
      <c r="CL209" s="178"/>
      <c r="CM209" s="47"/>
      <c r="CN209" s="47"/>
      <c r="CO209" s="47"/>
      <c r="CP209" s="47"/>
      <c r="CQ209" s="47"/>
      <c r="CR209" s="47"/>
      <c r="CS209" s="47"/>
      <c r="CT209" s="47"/>
      <c r="CU209" s="47"/>
      <c r="CV209" s="47"/>
      <c r="CW209" s="47"/>
      <c r="CX209" s="47"/>
      <c r="CY209" s="180"/>
      <c r="CZ209" s="183"/>
      <c r="DA209" s="178">
        <f t="shared" si="1133"/>
        <v>697.674</v>
      </c>
      <c r="DB209" s="178"/>
      <c r="DC209" s="178"/>
      <c r="DD209" s="178"/>
      <c r="DE209" s="47"/>
      <c r="DF209" s="47"/>
      <c r="DG209" s="47"/>
      <c r="DH209" s="47"/>
      <c r="DI209" s="47"/>
      <c r="DJ209" s="47"/>
      <c r="DK209" s="47"/>
      <c r="DL209" s="47"/>
      <c r="DM209" s="180">
        <f t="shared" si="1049"/>
        <v>697.674</v>
      </c>
      <c r="DN209" s="182"/>
      <c r="DO209" s="243"/>
      <c r="DP209" s="243"/>
      <c r="DQ209" s="131"/>
    </row>
    <row r="210" outlineLevel="2">
      <c r="A210" s="15"/>
      <c r="B210" s="173" t="s">
        <v>198</v>
      </c>
      <c r="C210" s="124"/>
      <c r="D210" s="174">
        <f t="shared" si="1119"/>
        <v>0</v>
      </c>
      <c r="E210" s="174">
        <f t="shared" si="1120"/>
        <v>0</v>
      </c>
      <c r="F210" s="174">
        <f t="shared" si="1121"/>
        <v>0</v>
      </c>
      <c r="G210" s="174">
        <f t="shared" si="1122"/>
        <v>0</v>
      </c>
      <c r="H210" s="175"/>
      <c r="I210" s="176">
        <f t="shared" si="1022"/>
        <v>0</v>
      </c>
      <c r="J210" s="177">
        <f t="shared" si="1023"/>
        <v>0</v>
      </c>
      <c r="K210" s="176">
        <f t="shared" si="1024"/>
        <v>0</v>
      </c>
      <c r="L210" s="177">
        <f t="shared" si="1025"/>
        <v>0</v>
      </c>
      <c r="M210" s="176">
        <f t="shared" si="1026"/>
        <v>0</v>
      </c>
      <c r="N210" s="177">
        <f t="shared" si="1027"/>
        <v>0</v>
      </c>
      <c r="O210" s="175"/>
      <c r="P210" s="178">
        <f t="shared" si="1123"/>
        <v>0</v>
      </c>
      <c r="Q210" s="174">
        <f t="shared" si="1124"/>
        <v>2000</v>
      </c>
      <c r="R210" s="174">
        <f t="shared" si="1125"/>
        <v>0</v>
      </c>
      <c r="S210" s="175"/>
      <c r="T210" s="176">
        <f t="shared" si="1031"/>
        <v>2000</v>
      </c>
      <c r="U210" s="67">
        <f t="shared" si="1032"/>
        <v>1</v>
      </c>
      <c r="V210" s="66">
        <f t="shared" si="1033"/>
        <v>0</v>
      </c>
      <c r="W210" s="67">
        <f t="shared" si="1034"/>
        <v>0</v>
      </c>
      <c r="X210" s="48"/>
      <c r="Y210" s="178">
        <f t="shared" si="1126"/>
        <v>0</v>
      </c>
      <c r="Z210" s="178">
        <f t="shared" si="1127"/>
        <v>0</v>
      </c>
      <c r="AA210" s="174">
        <f t="shared" si="1128"/>
        <v>2000</v>
      </c>
      <c r="AB210" s="95" t="str">
        <f t="shared" si="1129"/>
        <v/>
      </c>
      <c r="AC210" s="125"/>
      <c r="AD210" s="66">
        <f t="shared" si="1039"/>
        <v>2000</v>
      </c>
      <c r="AE210" s="67">
        <f t="shared" si="1040"/>
        <v>1</v>
      </c>
      <c r="AF210" s="66">
        <f t="shared" si="1041"/>
        <v>0</v>
      </c>
      <c r="AG210" s="67">
        <f t="shared" si="1042"/>
        <v>0</v>
      </c>
      <c r="AH210" s="179"/>
      <c r="AI210" s="47" t="str">
        <f t="shared" si="1130"/>
        <v/>
      </c>
      <c r="AJ210" s="47" t="str">
        <f t="shared" ref="AJ210:AT210" si="1136">IFERROR(IF(AJ$3="A",CN210,IF(AJ$3="F",DB210,IF(AJ$3="B",BL210,0))),"")</f>
        <v/>
      </c>
      <c r="AK210" s="47" t="str">
        <f t="shared" si="1136"/>
        <v/>
      </c>
      <c r="AL210" s="47" t="str">
        <f t="shared" si="1136"/>
        <v/>
      </c>
      <c r="AM210" s="47" t="str">
        <f t="shared" si="1136"/>
        <v/>
      </c>
      <c r="AN210" s="47" t="str">
        <f t="shared" si="1136"/>
        <v/>
      </c>
      <c r="AO210" s="47" t="str">
        <f t="shared" si="1136"/>
        <v/>
      </c>
      <c r="AP210" s="47" t="str">
        <f t="shared" si="1136"/>
        <v/>
      </c>
      <c r="AQ210" s="47" t="str">
        <f t="shared" si="1136"/>
        <v/>
      </c>
      <c r="AR210" s="47">
        <f t="shared" si="1136"/>
        <v>0</v>
      </c>
      <c r="AS210" s="47">
        <f t="shared" si="1136"/>
        <v>0</v>
      </c>
      <c r="AT210" s="47" t="str">
        <f t="shared" si="1136"/>
        <v/>
      </c>
      <c r="AU210" s="180">
        <f t="shared" si="1045"/>
        <v>0</v>
      </c>
      <c r="AV210" s="127"/>
      <c r="AW210" s="47" t="str">
        <f t="shared" ref="AW210:BH210" si="1137">IFERROR(IF(AW$3="A",CM210,IF(AW$3="B",BK210)),0)</f>
        <v/>
      </c>
      <c r="AX210" s="47" t="str">
        <f t="shared" si="1137"/>
        <v/>
      </c>
      <c r="AY210" s="47" t="str">
        <f t="shared" si="1137"/>
        <v/>
      </c>
      <c r="AZ210" s="47" t="str">
        <f t="shared" si="1137"/>
        <v/>
      </c>
      <c r="BA210" s="47" t="str">
        <f t="shared" si="1137"/>
        <v/>
      </c>
      <c r="BB210" s="47" t="str">
        <f t="shared" si="1137"/>
        <v/>
      </c>
      <c r="BC210" s="47">
        <f t="shared" si="1137"/>
        <v>0</v>
      </c>
      <c r="BD210" s="47">
        <f t="shared" si="1137"/>
        <v>0</v>
      </c>
      <c r="BE210" s="47">
        <f t="shared" si="1137"/>
        <v>0</v>
      </c>
      <c r="BF210" s="47">
        <f t="shared" si="1137"/>
        <v>0</v>
      </c>
      <c r="BG210" s="47">
        <f t="shared" si="1137"/>
        <v>0</v>
      </c>
      <c r="BH210" s="47" t="str">
        <f t="shared" si="1137"/>
        <v/>
      </c>
      <c r="BI210" s="180">
        <f t="shared" si="1047"/>
        <v>0</v>
      </c>
      <c r="BJ210" s="179"/>
      <c r="BK210" s="128">
        <v>1000.0</v>
      </c>
      <c r="BL210" s="128">
        <v>0.0</v>
      </c>
      <c r="BM210" s="128">
        <v>0.0</v>
      </c>
      <c r="BN210" s="128">
        <v>0.0</v>
      </c>
      <c r="BO210" s="128">
        <v>1000.0</v>
      </c>
      <c r="BP210" s="128">
        <v>0.0</v>
      </c>
      <c r="BQ210" s="128">
        <v>0.0</v>
      </c>
      <c r="BR210" s="128">
        <v>0.0</v>
      </c>
      <c r="BS210" s="128">
        <v>0.0</v>
      </c>
      <c r="BT210" s="128">
        <v>0.0</v>
      </c>
      <c r="BU210" s="128">
        <v>0.0</v>
      </c>
      <c r="BV210" s="47"/>
      <c r="BW210" s="181">
        <v>2000.0</v>
      </c>
      <c r="BX210" s="182"/>
      <c r="BY210" s="47"/>
      <c r="BZ210" s="47"/>
      <c r="CA210" s="47"/>
      <c r="CB210" s="47"/>
      <c r="CC210" s="47"/>
      <c r="CD210" s="47"/>
      <c r="CE210" s="47"/>
      <c r="CF210" s="47"/>
      <c r="CG210" s="47"/>
      <c r="CH210" s="47"/>
      <c r="CI210" s="47"/>
      <c r="CJ210" s="47"/>
      <c r="CK210" s="180"/>
      <c r="CL210" s="178"/>
      <c r="CM210" s="47"/>
      <c r="CN210" s="47"/>
      <c r="CO210" s="47"/>
      <c r="CP210" s="47"/>
      <c r="CQ210" s="47"/>
      <c r="CR210" s="47"/>
      <c r="CS210" s="47"/>
      <c r="CT210" s="47"/>
      <c r="CU210" s="47"/>
      <c r="CV210" s="47"/>
      <c r="CW210" s="47"/>
      <c r="CX210" s="47"/>
      <c r="CY210" s="180"/>
      <c r="CZ210" s="183"/>
      <c r="DA210" s="178">
        <f t="shared" si="1133"/>
        <v>1000</v>
      </c>
      <c r="DB210" s="178"/>
      <c r="DC210" s="178"/>
      <c r="DD210" s="178"/>
      <c r="DE210" s="47"/>
      <c r="DF210" s="47"/>
      <c r="DG210" s="47"/>
      <c r="DH210" s="47"/>
      <c r="DI210" s="47"/>
      <c r="DJ210" s="47"/>
      <c r="DK210" s="47"/>
      <c r="DL210" s="47"/>
      <c r="DM210" s="180">
        <f t="shared" si="1049"/>
        <v>1000</v>
      </c>
      <c r="DN210" s="182"/>
      <c r="DO210" s="243"/>
      <c r="DP210" s="243"/>
      <c r="DQ210" s="131"/>
    </row>
    <row r="211" outlineLevel="2">
      <c r="A211" s="15"/>
      <c r="B211" s="173" t="s">
        <v>199</v>
      </c>
      <c r="C211" s="124"/>
      <c r="D211" s="174">
        <f t="shared" si="1119"/>
        <v>0</v>
      </c>
      <c r="E211" s="174">
        <f t="shared" si="1120"/>
        <v>0</v>
      </c>
      <c r="F211" s="174">
        <f t="shared" si="1121"/>
        <v>0</v>
      </c>
      <c r="G211" s="174">
        <f t="shared" si="1122"/>
        <v>0</v>
      </c>
      <c r="H211" s="175"/>
      <c r="I211" s="176">
        <f t="shared" si="1022"/>
        <v>0</v>
      </c>
      <c r="J211" s="177">
        <f t="shared" si="1023"/>
        <v>0</v>
      </c>
      <c r="K211" s="176">
        <f t="shared" si="1024"/>
        <v>0</v>
      </c>
      <c r="L211" s="177">
        <f t="shared" si="1025"/>
        <v>0</v>
      </c>
      <c r="M211" s="176">
        <f t="shared" si="1026"/>
        <v>0</v>
      </c>
      <c r="N211" s="177">
        <f t="shared" si="1027"/>
        <v>0</v>
      </c>
      <c r="O211" s="175"/>
      <c r="P211" s="178">
        <f t="shared" si="1123"/>
        <v>0</v>
      </c>
      <c r="Q211" s="174">
        <f t="shared" si="1124"/>
        <v>500</v>
      </c>
      <c r="R211" s="174">
        <f t="shared" si="1125"/>
        <v>0</v>
      </c>
      <c r="S211" s="175"/>
      <c r="T211" s="176">
        <f t="shared" si="1031"/>
        <v>500</v>
      </c>
      <c r="U211" s="67">
        <f t="shared" si="1032"/>
        <v>1</v>
      </c>
      <c r="V211" s="66">
        <f t="shared" si="1033"/>
        <v>0</v>
      </c>
      <c r="W211" s="67">
        <f t="shared" si="1034"/>
        <v>0</v>
      </c>
      <c r="X211" s="48"/>
      <c r="Y211" s="178">
        <f t="shared" si="1126"/>
        <v>250</v>
      </c>
      <c r="Z211" s="178">
        <f t="shared" si="1127"/>
        <v>500</v>
      </c>
      <c r="AA211" s="174">
        <f t="shared" si="1128"/>
        <v>1000</v>
      </c>
      <c r="AB211" s="95" t="str">
        <f t="shared" si="1129"/>
        <v/>
      </c>
      <c r="AC211" s="125"/>
      <c r="AD211" s="66">
        <f t="shared" si="1039"/>
        <v>750</v>
      </c>
      <c r="AE211" s="67">
        <f t="shared" si="1040"/>
        <v>0.75</v>
      </c>
      <c r="AF211" s="66">
        <f t="shared" si="1041"/>
        <v>-250</v>
      </c>
      <c r="AG211" s="67">
        <f t="shared" si="1042"/>
        <v>0</v>
      </c>
      <c r="AH211" s="179"/>
      <c r="AI211" s="47" t="str">
        <f t="shared" si="1130"/>
        <v/>
      </c>
      <c r="AJ211" s="47" t="str">
        <f t="shared" ref="AJ211:AT211" si="1138">IFERROR(IF(AJ$3="A",CN211,IF(AJ$3="F",DB211,IF(AJ$3="B",BL211,0))),"")</f>
        <v/>
      </c>
      <c r="AK211" s="47" t="str">
        <f t="shared" si="1138"/>
        <v/>
      </c>
      <c r="AL211" s="47" t="str">
        <f t="shared" si="1138"/>
        <v/>
      </c>
      <c r="AM211" s="47" t="str">
        <f t="shared" si="1138"/>
        <v/>
      </c>
      <c r="AN211" s="47" t="str">
        <f t="shared" si="1138"/>
        <v/>
      </c>
      <c r="AO211" s="47" t="str">
        <f t="shared" si="1138"/>
        <v/>
      </c>
      <c r="AP211" s="47" t="str">
        <f t="shared" si="1138"/>
        <v/>
      </c>
      <c r="AQ211" s="47" t="str">
        <f t="shared" si="1138"/>
        <v/>
      </c>
      <c r="AR211" s="47">
        <f t="shared" si="1138"/>
        <v>0</v>
      </c>
      <c r="AS211" s="47">
        <f t="shared" si="1138"/>
        <v>0</v>
      </c>
      <c r="AT211" s="47">
        <f t="shared" si="1138"/>
        <v>250</v>
      </c>
      <c r="AU211" s="180">
        <f t="shared" si="1045"/>
        <v>250</v>
      </c>
      <c r="AV211" s="127"/>
      <c r="AW211" s="47" t="str">
        <f t="shared" ref="AW211:BH211" si="1139">IFERROR(IF(AW$3="A",CM211,IF(AW$3="B",BK211)),0)</f>
        <v/>
      </c>
      <c r="AX211" s="47" t="str">
        <f t="shared" si="1139"/>
        <v/>
      </c>
      <c r="AY211" s="47" t="str">
        <f t="shared" si="1139"/>
        <v/>
      </c>
      <c r="AZ211" s="47" t="str">
        <f t="shared" si="1139"/>
        <v/>
      </c>
      <c r="BA211" s="47" t="str">
        <f t="shared" si="1139"/>
        <v/>
      </c>
      <c r="BB211" s="47" t="str">
        <f t="shared" si="1139"/>
        <v/>
      </c>
      <c r="BC211" s="47">
        <f t="shared" si="1139"/>
        <v>0</v>
      </c>
      <c r="BD211" s="47">
        <f t="shared" si="1139"/>
        <v>250</v>
      </c>
      <c r="BE211" s="47">
        <f t="shared" si="1139"/>
        <v>0</v>
      </c>
      <c r="BF211" s="47">
        <f t="shared" si="1139"/>
        <v>0</v>
      </c>
      <c r="BG211" s="47">
        <f t="shared" si="1139"/>
        <v>0</v>
      </c>
      <c r="BH211" s="47">
        <f t="shared" si="1139"/>
        <v>250</v>
      </c>
      <c r="BI211" s="180">
        <f t="shared" si="1047"/>
        <v>500</v>
      </c>
      <c r="BJ211" s="179"/>
      <c r="BK211" s="128">
        <v>0.0</v>
      </c>
      <c r="BL211" s="128">
        <v>250.0</v>
      </c>
      <c r="BM211" s="128">
        <v>0.0</v>
      </c>
      <c r="BN211" s="128">
        <v>0.0</v>
      </c>
      <c r="BO211" s="128">
        <v>250.0</v>
      </c>
      <c r="BP211" s="128">
        <v>0.0</v>
      </c>
      <c r="BQ211" s="128">
        <v>0.0</v>
      </c>
      <c r="BR211" s="128">
        <v>250.0</v>
      </c>
      <c r="BS211" s="128">
        <v>0.0</v>
      </c>
      <c r="BT211" s="128">
        <v>0.0</v>
      </c>
      <c r="BU211" s="128">
        <v>0.0</v>
      </c>
      <c r="BV211" s="128">
        <v>250.0</v>
      </c>
      <c r="BW211" s="181">
        <v>1000.0</v>
      </c>
      <c r="BX211" s="182"/>
      <c r="BY211" s="47"/>
      <c r="BZ211" s="47"/>
      <c r="CA211" s="47"/>
      <c r="CB211" s="47"/>
      <c r="CC211" s="47"/>
      <c r="CD211" s="47"/>
      <c r="CE211" s="47"/>
      <c r="CF211" s="47"/>
      <c r="CG211" s="47"/>
      <c r="CH211" s="47"/>
      <c r="CI211" s="47"/>
      <c r="CJ211" s="47"/>
      <c r="CK211" s="180"/>
      <c r="CL211" s="178"/>
      <c r="CM211" s="47"/>
      <c r="CN211" s="47"/>
      <c r="CO211" s="47"/>
      <c r="CP211" s="47"/>
      <c r="CQ211" s="47"/>
      <c r="CR211" s="47"/>
      <c r="CS211" s="47"/>
      <c r="CT211" s="47"/>
      <c r="CU211" s="47"/>
      <c r="CV211" s="47"/>
      <c r="CW211" s="47"/>
      <c r="CX211" s="47"/>
      <c r="CY211" s="180"/>
      <c r="CZ211" s="183"/>
      <c r="DA211" s="178">
        <f t="shared" si="1133"/>
        <v>0</v>
      </c>
      <c r="DB211" s="178"/>
      <c r="DC211" s="178"/>
      <c r="DD211" s="178"/>
      <c r="DE211" s="47"/>
      <c r="DF211" s="47"/>
      <c r="DG211" s="47"/>
      <c r="DH211" s="47"/>
      <c r="DI211" s="47"/>
      <c r="DJ211" s="47"/>
      <c r="DK211" s="47"/>
      <c r="DL211" s="47"/>
      <c r="DM211" s="180">
        <f t="shared" si="1049"/>
        <v>0</v>
      </c>
      <c r="DN211" s="182"/>
      <c r="DO211" s="243"/>
      <c r="DP211" s="243"/>
      <c r="DQ211" s="131"/>
    </row>
    <row r="212" outlineLevel="2">
      <c r="A212" s="15"/>
      <c r="B212" s="173" t="s">
        <v>200</v>
      </c>
      <c r="C212" s="124"/>
      <c r="D212" s="174">
        <f t="shared" si="1119"/>
        <v>0</v>
      </c>
      <c r="E212" s="174">
        <f t="shared" si="1120"/>
        <v>0</v>
      </c>
      <c r="F212" s="174">
        <f t="shared" si="1121"/>
        <v>50</v>
      </c>
      <c r="G212" s="174">
        <f t="shared" si="1122"/>
        <v>0</v>
      </c>
      <c r="H212" s="175"/>
      <c r="I212" s="176">
        <f t="shared" si="1022"/>
        <v>0</v>
      </c>
      <c r="J212" s="177">
        <f t="shared" si="1023"/>
        <v>0</v>
      </c>
      <c r="K212" s="176">
        <f t="shared" si="1024"/>
        <v>50</v>
      </c>
      <c r="L212" s="177">
        <f t="shared" si="1025"/>
        <v>1</v>
      </c>
      <c r="M212" s="176">
        <f t="shared" si="1026"/>
        <v>0</v>
      </c>
      <c r="N212" s="177">
        <f t="shared" si="1027"/>
        <v>0</v>
      </c>
      <c r="O212" s="175"/>
      <c r="P212" s="178">
        <f t="shared" si="1123"/>
        <v>0</v>
      </c>
      <c r="Q212" s="174">
        <f t="shared" si="1124"/>
        <v>842</v>
      </c>
      <c r="R212" s="174">
        <f t="shared" si="1125"/>
        <v>0</v>
      </c>
      <c r="S212" s="175"/>
      <c r="T212" s="176">
        <f t="shared" si="1031"/>
        <v>842</v>
      </c>
      <c r="U212" s="67">
        <f t="shared" si="1032"/>
        <v>1</v>
      </c>
      <c r="V212" s="66">
        <f t="shared" si="1033"/>
        <v>0</v>
      </c>
      <c r="W212" s="67">
        <f t="shared" si="1034"/>
        <v>0</v>
      </c>
      <c r="X212" s="48"/>
      <c r="Y212" s="178">
        <f t="shared" si="1126"/>
        <v>180</v>
      </c>
      <c r="Z212" s="178">
        <f t="shared" si="1127"/>
        <v>280</v>
      </c>
      <c r="AA212" s="174">
        <f t="shared" si="1128"/>
        <v>1122</v>
      </c>
      <c r="AB212" s="95" t="str">
        <f t="shared" si="1129"/>
        <v/>
      </c>
      <c r="AC212" s="125"/>
      <c r="AD212" s="66">
        <f t="shared" si="1039"/>
        <v>942</v>
      </c>
      <c r="AE212" s="67">
        <f t="shared" si="1040"/>
        <v>0.8395721925</v>
      </c>
      <c r="AF212" s="66">
        <f t="shared" si="1041"/>
        <v>-180</v>
      </c>
      <c r="AG212" s="67">
        <f t="shared" si="1042"/>
        <v>0</v>
      </c>
      <c r="AH212" s="179"/>
      <c r="AI212" s="47" t="str">
        <f t="shared" si="1130"/>
        <v/>
      </c>
      <c r="AJ212" s="47" t="str">
        <f t="shared" ref="AJ212:AT212" si="1140">IFERROR(IF(AJ$3="A",CN212,IF(AJ$3="F",DB212,IF(AJ$3="B",BL212,0))),"")</f>
        <v/>
      </c>
      <c r="AK212" s="47" t="str">
        <f t="shared" si="1140"/>
        <v/>
      </c>
      <c r="AL212" s="47" t="str">
        <f t="shared" si="1140"/>
        <v/>
      </c>
      <c r="AM212" s="47" t="str">
        <f t="shared" si="1140"/>
        <v/>
      </c>
      <c r="AN212" s="47" t="str">
        <f t="shared" si="1140"/>
        <v/>
      </c>
      <c r="AO212" s="47" t="str">
        <f t="shared" si="1140"/>
        <v/>
      </c>
      <c r="AP212" s="47" t="str">
        <f t="shared" si="1140"/>
        <v/>
      </c>
      <c r="AQ212" s="47" t="str">
        <f t="shared" si="1140"/>
        <v/>
      </c>
      <c r="AR212" s="47">
        <f t="shared" si="1140"/>
        <v>0</v>
      </c>
      <c r="AS212" s="47">
        <f t="shared" si="1140"/>
        <v>180</v>
      </c>
      <c r="AT212" s="47">
        <f t="shared" si="1140"/>
        <v>0</v>
      </c>
      <c r="AU212" s="180">
        <f t="shared" si="1045"/>
        <v>180</v>
      </c>
      <c r="AV212" s="127"/>
      <c r="AW212" s="47" t="str">
        <f t="shared" ref="AW212:BH212" si="1141">IFERROR(IF(AW$3="A",CM212,IF(AW$3="B",BK212)),0)</f>
        <v/>
      </c>
      <c r="AX212" s="47" t="str">
        <f t="shared" si="1141"/>
        <v/>
      </c>
      <c r="AY212" s="47" t="str">
        <f t="shared" si="1141"/>
        <v/>
      </c>
      <c r="AZ212" s="47" t="str">
        <f t="shared" si="1141"/>
        <v/>
      </c>
      <c r="BA212" s="47" t="str">
        <f t="shared" si="1141"/>
        <v/>
      </c>
      <c r="BB212" s="47" t="str">
        <f t="shared" si="1141"/>
        <v/>
      </c>
      <c r="BC212" s="47">
        <f t="shared" si="1141"/>
        <v>0</v>
      </c>
      <c r="BD212" s="47">
        <f t="shared" si="1141"/>
        <v>0</v>
      </c>
      <c r="BE212" s="47">
        <f t="shared" si="1141"/>
        <v>100</v>
      </c>
      <c r="BF212" s="47">
        <f t="shared" si="1141"/>
        <v>0</v>
      </c>
      <c r="BG212" s="47">
        <f t="shared" si="1141"/>
        <v>180</v>
      </c>
      <c r="BH212" s="47">
        <f t="shared" si="1141"/>
        <v>0</v>
      </c>
      <c r="BI212" s="180">
        <f t="shared" si="1047"/>
        <v>280</v>
      </c>
      <c r="BJ212" s="179"/>
      <c r="BK212" s="128">
        <v>642.0</v>
      </c>
      <c r="BL212" s="128">
        <v>0.0</v>
      </c>
      <c r="BM212" s="128">
        <v>0.0</v>
      </c>
      <c r="BN212" s="128">
        <v>150.0</v>
      </c>
      <c r="BO212" s="128">
        <v>0.0</v>
      </c>
      <c r="BP212" s="128">
        <v>50.0</v>
      </c>
      <c r="BQ212" s="128">
        <v>0.0</v>
      </c>
      <c r="BR212" s="128">
        <v>0.0</v>
      </c>
      <c r="BS212" s="128">
        <v>100.0</v>
      </c>
      <c r="BT212" s="128">
        <v>0.0</v>
      </c>
      <c r="BU212" s="128">
        <v>180.0</v>
      </c>
      <c r="BV212" s="128">
        <v>0.0</v>
      </c>
      <c r="BW212" s="181">
        <v>1122.0</v>
      </c>
      <c r="BX212" s="182"/>
      <c r="BY212" s="47"/>
      <c r="BZ212" s="47"/>
      <c r="CA212" s="47"/>
      <c r="CB212" s="47"/>
      <c r="CC212" s="47"/>
      <c r="CD212" s="47"/>
      <c r="CE212" s="47"/>
      <c r="CF212" s="47"/>
      <c r="CG212" s="47"/>
      <c r="CH212" s="47"/>
      <c r="CI212" s="47"/>
      <c r="CJ212" s="47"/>
      <c r="CK212" s="180"/>
      <c r="CL212" s="178"/>
      <c r="CM212" s="47"/>
      <c r="CN212" s="47"/>
      <c r="CO212" s="47"/>
      <c r="CP212" s="47"/>
      <c r="CQ212" s="47"/>
      <c r="CR212" s="47"/>
      <c r="CS212" s="47"/>
      <c r="CT212" s="47"/>
      <c r="CU212" s="47"/>
      <c r="CV212" s="47"/>
      <c r="CW212" s="47"/>
      <c r="CX212" s="47"/>
      <c r="CY212" s="180"/>
      <c r="CZ212" s="183"/>
      <c r="DA212" s="178">
        <f t="shared" si="1133"/>
        <v>642</v>
      </c>
      <c r="DB212" s="178"/>
      <c r="DC212" s="178"/>
      <c r="DD212" s="178"/>
      <c r="DE212" s="47"/>
      <c r="DF212" s="47"/>
      <c r="DG212" s="47"/>
      <c r="DH212" s="47"/>
      <c r="DI212" s="47"/>
      <c r="DJ212" s="47"/>
      <c r="DK212" s="47"/>
      <c r="DL212" s="47"/>
      <c r="DM212" s="180">
        <f t="shared" si="1049"/>
        <v>642</v>
      </c>
      <c r="DN212" s="182"/>
      <c r="DO212" s="243"/>
      <c r="DP212" s="243"/>
      <c r="DQ212" s="131"/>
    </row>
    <row r="213" outlineLevel="2">
      <c r="A213" s="15"/>
      <c r="B213" s="173" t="s">
        <v>201</v>
      </c>
      <c r="C213" s="124"/>
      <c r="D213" s="174">
        <f t="shared" si="1119"/>
        <v>0</v>
      </c>
      <c r="E213" s="174">
        <f t="shared" si="1120"/>
        <v>0</v>
      </c>
      <c r="F213" s="174">
        <f t="shared" si="1121"/>
        <v>400</v>
      </c>
      <c r="G213" s="174">
        <f t="shared" si="1122"/>
        <v>0</v>
      </c>
      <c r="H213" s="175"/>
      <c r="I213" s="176">
        <f t="shared" si="1022"/>
        <v>0</v>
      </c>
      <c r="J213" s="177">
        <f t="shared" si="1023"/>
        <v>0</v>
      </c>
      <c r="K213" s="176">
        <f t="shared" si="1024"/>
        <v>400</v>
      </c>
      <c r="L213" s="177">
        <f t="shared" si="1025"/>
        <v>1</v>
      </c>
      <c r="M213" s="176">
        <f t="shared" si="1026"/>
        <v>0</v>
      </c>
      <c r="N213" s="177">
        <f t="shared" si="1027"/>
        <v>0</v>
      </c>
      <c r="O213" s="175"/>
      <c r="P213" s="178">
        <f t="shared" si="1123"/>
        <v>0</v>
      </c>
      <c r="Q213" s="174">
        <f t="shared" si="1124"/>
        <v>600</v>
      </c>
      <c r="R213" s="174">
        <f t="shared" si="1125"/>
        <v>0</v>
      </c>
      <c r="S213" s="175"/>
      <c r="T213" s="176">
        <f t="shared" si="1031"/>
        <v>600</v>
      </c>
      <c r="U213" s="67">
        <f t="shared" si="1032"/>
        <v>1</v>
      </c>
      <c r="V213" s="66">
        <f t="shared" si="1033"/>
        <v>0</v>
      </c>
      <c r="W213" s="67">
        <f t="shared" si="1034"/>
        <v>0</v>
      </c>
      <c r="X213" s="48"/>
      <c r="Y213" s="178">
        <f t="shared" si="1126"/>
        <v>200</v>
      </c>
      <c r="Z213" s="178">
        <f t="shared" si="1127"/>
        <v>200</v>
      </c>
      <c r="AA213" s="174">
        <f t="shared" si="1128"/>
        <v>800</v>
      </c>
      <c r="AB213" s="95" t="str">
        <f t="shared" si="1129"/>
        <v/>
      </c>
      <c r="AC213" s="125"/>
      <c r="AD213" s="66">
        <f t="shared" si="1039"/>
        <v>600</v>
      </c>
      <c r="AE213" s="67">
        <f t="shared" si="1040"/>
        <v>0.75</v>
      </c>
      <c r="AF213" s="66">
        <f t="shared" si="1041"/>
        <v>-200</v>
      </c>
      <c r="AG213" s="67">
        <f t="shared" si="1042"/>
        <v>0</v>
      </c>
      <c r="AH213" s="179"/>
      <c r="AI213" s="47" t="str">
        <f t="shared" si="1130"/>
        <v/>
      </c>
      <c r="AJ213" s="47" t="str">
        <f t="shared" ref="AJ213:AT213" si="1142">IFERROR(IF(AJ$3="A",CN213,IF(AJ$3="F",DB213,IF(AJ$3="B",BL213,0))),"")</f>
        <v/>
      </c>
      <c r="AK213" s="47" t="str">
        <f t="shared" si="1142"/>
        <v/>
      </c>
      <c r="AL213" s="47" t="str">
        <f t="shared" si="1142"/>
        <v/>
      </c>
      <c r="AM213" s="47" t="str">
        <f t="shared" si="1142"/>
        <v/>
      </c>
      <c r="AN213" s="47" t="str">
        <f t="shared" si="1142"/>
        <v/>
      </c>
      <c r="AO213" s="47" t="str">
        <f t="shared" si="1142"/>
        <v/>
      </c>
      <c r="AP213" s="47" t="str">
        <f t="shared" si="1142"/>
        <v/>
      </c>
      <c r="AQ213" s="47" t="str">
        <f t="shared" si="1142"/>
        <v/>
      </c>
      <c r="AR213" s="47">
        <f t="shared" si="1142"/>
        <v>200</v>
      </c>
      <c r="AS213" s="47">
        <f t="shared" si="1142"/>
        <v>0</v>
      </c>
      <c r="AT213" s="47">
        <f t="shared" si="1142"/>
        <v>0</v>
      </c>
      <c r="AU213" s="180">
        <f t="shared" si="1045"/>
        <v>200</v>
      </c>
      <c r="AV213" s="127"/>
      <c r="AW213" s="47" t="str">
        <f t="shared" ref="AW213:BH213" si="1143">IFERROR(IF(AW$3="A",CM213,IF(AW$3="B",BK213)),0)</f>
        <v/>
      </c>
      <c r="AX213" s="47" t="str">
        <f t="shared" si="1143"/>
        <v/>
      </c>
      <c r="AY213" s="47" t="str">
        <f t="shared" si="1143"/>
        <v/>
      </c>
      <c r="AZ213" s="47" t="str">
        <f t="shared" si="1143"/>
        <v/>
      </c>
      <c r="BA213" s="47" t="str">
        <f t="shared" si="1143"/>
        <v/>
      </c>
      <c r="BB213" s="47" t="str">
        <f t="shared" si="1143"/>
        <v/>
      </c>
      <c r="BC213" s="47">
        <f t="shared" si="1143"/>
        <v>0</v>
      </c>
      <c r="BD213" s="47">
        <f t="shared" si="1143"/>
        <v>0</v>
      </c>
      <c r="BE213" s="47">
        <f t="shared" si="1143"/>
        <v>0</v>
      </c>
      <c r="BF213" s="47">
        <f t="shared" si="1143"/>
        <v>200</v>
      </c>
      <c r="BG213" s="47">
        <f t="shared" si="1143"/>
        <v>0</v>
      </c>
      <c r="BH213" s="47">
        <f t="shared" si="1143"/>
        <v>0</v>
      </c>
      <c r="BI213" s="180">
        <f t="shared" si="1047"/>
        <v>200</v>
      </c>
      <c r="BJ213" s="179"/>
      <c r="BK213" s="128">
        <v>0.0</v>
      </c>
      <c r="BL213" s="128">
        <v>200.0</v>
      </c>
      <c r="BM213" s="128">
        <v>0.0</v>
      </c>
      <c r="BN213" s="128">
        <v>0.0</v>
      </c>
      <c r="BO213" s="128">
        <v>0.0</v>
      </c>
      <c r="BP213" s="128">
        <v>400.0</v>
      </c>
      <c r="BQ213" s="128">
        <v>0.0</v>
      </c>
      <c r="BR213" s="128">
        <v>0.0</v>
      </c>
      <c r="BS213" s="128">
        <v>0.0</v>
      </c>
      <c r="BT213" s="128">
        <v>200.0</v>
      </c>
      <c r="BU213" s="128">
        <v>0.0</v>
      </c>
      <c r="BV213" s="128">
        <v>0.0</v>
      </c>
      <c r="BW213" s="181">
        <v>800.0</v>
      </c>
      <c r="BX213" s="182"/>
      <c r="BY213" s="47"/>
      <c r="BZ213" s="47"/>
      <c r="CA213" s="47"/>
      <c r="CB213" s="47"/>
      <c r="CC213" s="47"/>
      <c r="CD213" s="47"/>
      <c r="CE213" s="47"/>
      <c r="CF213" s="47"/>
      <c r="CG213" s="47"/>
      <c r="CH213" s="47"/>
      <c r="CI213" s="47"/>
      <c r="CJ213" s="47"/>
      <c r="CK213" s="180"/>
      <c r="CL213" s="178"/>
      <c r="CM213" s="47"/>
      <c r="CN213" s="47"/>
      <c r="CO213" s="47"/>
      <c r="CP213" s="47"/>
      <c r="CQ213" s="47"/>
      <c r="CR213" s="47"/>
      <c r="CS213" s="47"/>
      <c r="CT213" s="47"/>
      <c r="CU213" s="47"/>
      <c r="CV213" s="47"/>
      <c r="CW213" s="47"/>
      <c r="CX213" s="47"/>
      <c r="CY213" s="180"/>
      <c r="CZ213" s="183"/>
      <c r="DA213" s="178">
        <f t="shared" si="1133"/>
        <v>0</v>
      </c>
      <c r="DB213" s="178"/>
      <c r="DC213" s="178"/>
      <c r="DD213" s="178"/>
      <c r="DE213" s="47"/>
      <c r="DF213" s="47"/>
      <c r="DG213" s="47"/>
      <c r="DH213" s="47"/>
      <c r="DI213" s="47"/>
      <c r="DJ213" s="47"/>
      <c r="DK213" s="47"/>
      <c r="DL213" s="47"/>
      <c r="DM213" s="180">
        <f t="shared" si="1049"/>
        <v>0</v>
      </c>
      <c r="DN213" s="182"/>
      <c r="DO213" s="243"/>
      <c r="DP213" s="243"/>
      <c r="DQ213" s="131"/>
    </row>
    <row r="214" outlineLevel="2">
      <c r="A214" s="15"/>
      <c r="B214" s="173" t="s">
        <v>202</v>
      </c>
      <c r="C214" s="124"/>
      <c r="D214" s="174">
        <f t="shared" si="1119"/>
        <v>0</v>
      </c>
      <c r="E214" s="174">
        <f t="shared" si="1120"/>
        <v>0</v>
      </c>
      <c r="F214" s="174">
        <f t="shared" si="1121"/>
        <v>0</v>
      </c>
      <c r="G214" s="174">
        <f t="shared" si="1122"/>
        <v>0</v>
      </c>
      <c r="H214" s="175"/>
      <c r="I214" s="176">
        <f t="shared" si="1022"/>
        <v>0</v>
      </c>
      <c r="J214" s="177">
        <f t="shared" si="1023"/>
        <v>0</v>
      </c>
      <c r="K214" s="176">
        <f t="shared" si="1024"/>
        <v>0</v>
      </c>
      <c r="L214" s="177">
        <f t="shared" si="1025"/>
        <v>0</v>
      </c>
      <c r="M214" s="176">
        <f t="shared" si="1026"/>
        <v>0</v>
      </c>
      <c r="N214" s="177">
        <f t="shared" si="1027"/>
        <v>0</v>
      </c>
      <c r="O214" s="175"/>
      <c r="P214" s="178">
        <f t="shared" si="1123"/>
        <v>0</v>
      </c>
      <c r="Q214" s="174">
        <f t="shared" si="1124"/>
        <v>1000</v>
      </c>
      <c r="R214" s="174">
        <f t="shared" si="1125"/>
        <v>0</v>
      </c>
      <c r="S214" s="175"/>
      <c r="T214" s="176">
        <f t="shared" si="1031"/>
        <v>1000</v>
      </c>
      <c r="U214" s="67">
        <f t="shared" si="1032"/>
        <v>1</v>
      </c>
      <c r="V214" s="66">
        <f t="shared" si="1033"/>
        <v>0</v>
      </c>
      <c r="W214" s="67">
        <f t="shared" si="1034"/>
        <v>0</v>
      </c>
      <c r="X214" s="48"/>
      <c r="Y214" s="178">
        <f t="shared" si="1126"/>
        <v>0</v>
      </c>
      <c r="Z214" s="178">
        <f t="shared" si="1127"/>
        <v>500</v>
      </c>
      <c r="AA214" s="174">
        <f t="shared" si="1128"/>
        <v>1500</v>
      </c>
      <c r="AB214" s="95" t="str">
        <f t="shared" si="1129"/>
        <v/>
      </c>
      <c r="AC214" s="125"/>
      <c r="AD214" s="66">
        <f t="shared" si="1039"/>
        <v>1500</v>
      </c>
      <c r="AE214" s="67">
        <f t="shared" si="1040"/>
        <v>1</v>
      </c>
      <c r="AF214" s="66">
        <f t="shared" si="1041"/>
        <v>0</v>
      </c>
      <c r="AG214" s="67">
        <f t="shared" si="1042"/>
        <v>0</v>
      </c>
      <c r="AH214" s="179"/>
      <c r="AI214" s="47" t="str">
        <f t="shared" si="1130"/>
        <v/>
      </c>
      <c r="AJ214" s="47" t="str">
        <f t="shared" ref="AJ214:AT214" si="1144">IFERROR(IF(AJ$3="A",CN214,IF(AJ$3="F",DB214,IF(AJ$3="B",BL214,0))),"")</f>
        <v/>
      </c>
      <c r="AK214" s="47" t="str">
        <f t="shared" si="1144"/>
        <v/>
      </c>
      <c r="AL214" s="47" t="str">
        <f t="shared" si="1144"/>
        <v/>
      </c>
      <c r="AM214" s="47" t="str">
        <f t="shared" si="1144"/>
        <v/>
      </c>
      <c r="AN214" s="47" t="str">
        <f t="shared" si="1144"/>
        <v/>
      </c>
      <c r="AO214" s="47" t="str">
        <f t="shared" si="1144"/>
        <v/>
      </c>
      <c r="AP214" s="47" t="str">
        <f t="shared" si="1144"/>
        <v/>
      </c>
      <c r="AQ214" s="47" t="str">
        <f t="shared" si="1144"/>
        <v/>
      </c>
      <c r="AR214" s="47">
        <f t="shared" si="1144"/>
        <v>0</v>
      </c>
      <c r="AS214" s="47">
        <f t="shared" si="1144"/>
        <v>0</v>
      </c>
      <c r="AT214" s="47" t="str">
        <f t="shared" si="1144"/>
        <v/>
      </c>
      <c r="AU214" s="180">
        <f t="shared" si="1045"/>
        <v>0</v>
      </c>
      <c r="AV214" s="127"/>
      <c r="AW214" s="47" t="str">
        <f t="shared" ref="AW214:BH214" si="1145">IFERROR(IF(AW$3="A",CM214,IF(AW$3="B",BK214)),0)</f>
        <v/>
      </c>
      <c r="AX214" s="47" t="str">
        <f t="shared" si="1145"/>
        <v/>
      </c>
      <c r="AY214" s="47" t="str">
        <f t="shared" si="1145"/>
        <v/>
      </c>
      <c r="AZ214" s="47" t="str">
        <f t="shared" si="1145"/>
        <v/>
      </c>
      <c r="BA214" s="47" t="str">
        <f t="shared" si="1145"/>
        <v/>
      </c>
      <c r="BB214" s="47" t="str">
        <f t="shared" si="1145"/>
        <v/>
      </c>
      <c r="BC214" s="47">
        <f t="shared" si="1145"/>
        <v>0</v>
      </c>
      <c r="BD214" s="47">
        <f t="shared" si="1145"/>
        <v>500</v>
      </c>
      <c r="BE214" s="47">
        <f t="shared" si="1145"/>
        <v>0</v>
      </c>
      <c r="BF214" s="47">
        <f t="shared" si="1145"/>
        <v>0</v>
      </c>
      <c r="BG214" s="47">
        <f t="shared" si="1145"/>
        <v>0</v>
      </c>
      <c r="BH214" s="47" t="str">
        <f t="shared" si="1145"/>
        <v/>
      </c>
      <c r="BI214" s="180">
        <f t="shared" si="1047"/>
        <v>500</v>
      </c>
      <c r="BJ214" s="179"/>
      <c r="BK214" s="128">
        <v>0.0</v>
      </c>
      <c r="BL214" s="128">
        <v>0.0</v>
      </c>
      <c r="BM214" s="128">
        <v>500.0</v>
      </c>
      <c r="BN214" s="128">
        <v>0.0</v>
      </c>
      <c r="BO214" s="128">
        <v>500.0</v>
      </c>
      <c r="BP214" s="128">
        <v>0.0</v>
      </c>
      <c r="BQ214" s="128">
        <v>0.0</v>
      </c>
      <c r="BR214" s="128">
        <v>500.0</v>
      </c>
      <c r="BS214" s="128">
        <v>0.0</v>
      </c>
      <c r="BT214" s="128">
        <v>0.0</v>
      </c>
      <c r="BU214" s="128">
        <v>0.0</v>
      </c>
      <c r="BV214" s="47"/>
      <c r="BW214" s="181">
        <v>1500.0</v>
      </c>
      <c r="BX214" s="182"/>
      <c r="BY214" s="47"/>
      <c r="BZ214" s="47"/>
      <c r="CA214" s="47"/>
      <c r="CB214" s="47"/>
      <c r="CC214" s="47"/>
      <c r="CD214" s="47"/>
      <c r="CE214" s="47"/>
      <c r="CF214" s="47"/>
      <c r="CG214" s="47"/>
      <c r="CH214" s="47"/>
      <c r="CI214" s="47"/>
      <c r="CJ214" s="47"/>
      <c r="CK214" s="180"/>
      <c r="CL214" s="178"/>
      <c r="CM214" s="47"/>
      <c r="CN214" s="47"/>
      <c r="CO214" s="47"/>
      <c r="CP214" s="47"/>
      <c r="CQ214" s="47"/>
      <c r="CR214" s="47"/>
      <c r="CS214" s="47"/>
      <c r="CT214" s="47"/>
      <c r="CU214" s="47"/>
      <c r="CV214" s="47"/>
      <c r="CW214" s="47"/>
      <c r="CX214" s="47"/>
      <c r="CY214" s="180"/>
      <c r="CZ214" s="183"/>
      <c r="DA214" s="178">
        <f t="shared" si="1133"/>
        <v>0</v>
      </c>
      <c r="DB214" s="178"/>
      <c r="DC214" s="178"/>
      <c r="DD214" s="178"/>
      <c r="DE214" s="47"/>
      <c r="DF214" s="47"/>
      <c r="DG214" s="47"/>
      <c r="DH214" s="47"/>
      <c r="DI214" s="47"/>
      <c r="DJ214" s="47"/>
      <c r="DK214" s="47"/>
      <c r="DL214" s="47"/>
      <c r="DM214" s="180">
        <f t="shared" si="1049"/>
        <v>0</v>
      </c>
      <c r="DN214" s="182"/>
      <c r="DO214" s="243"/>
      <c r="DP214" s="243"/>
      <c r="DQ214" s="131"/>
    </row>
    <row r="215" outlineLevel="2">
      <c r="A215" s="15"/>
      <c r="B215" s="173" t="s">
        <v>203</v>
      </c>
      <c r="C215" s="124"/>
      <c r="D215" s="174">
        <f t="shared" si="1119"/>
        <v>0</v>
      </c>
      <c r="E215" s="174">
        <f t="shared" si="1120"/>
        <v>0</v>
      </c>
      <c r="F215" s="174">
        <f t="shared" si="1121"/>
        <v>300</v>
      </c>
      <c r="G215" s="174">
        <f t="shared" si="1122"/>
        <v>0</v>
      </c>
      <c r="H215" s="175"/>
      <c r="I215" s="176">
        <f t="shared" si="1022"/>
        <v>0</v>
      </c>
      <c r="J215" s="177">
        <f t="shared" si="1023"/>
        <v>0</v>
      </c>
      <c r="K215" s="176">
        <f t="shared" si="1024"/>
        <v>300</v>
      </c>
      <c r="L215" s="177">
        <f t="shared" si="1025"/>
        <v>1</v>
      </c>
      <c r="M215" s="176">
        <f t="shared" si="1026"/>
        <v>0</v>
      </c>
      <c r="N215" s="177">
        <f t="shared" si="1027"/>
        <v>0</v>
      </c>
      <c r="O215" s="175"/>
      <c r="P215" s="178">
        <f t="shared" si="1123"/>
        <v>0</v>
      </c>
      <c r="Q215" s="174">
        <f t="shared" si="1124"/>
        <v>8947</v>
      </c>
      <c r="R215" s="174">
        <f t="shared" si="1125"/>
        <v>0</v>
      </c>
      <c r="S215" s="175"/>
      <c r="T215" s="176">
        <f t="shared" si="1031"/>
        <v>8947</v>
      </c>
      <c r="U215" s="67">
        <f t="shared" si="1032"/>
        <v>1</v>
      </c>
      <c r="V215" s="66">
        <f t="shared" si="1033"/>
        <v>0</v>
      </c>
      <c r="W215" s="67">
        <f t="shared" si="1034"/>
        <v>0</v>
      </c>
      <c r="X215" s="48"/>
      <c r="Y215" s="178">
        <f t="shared" si="1126"/>
        <v>4700</v>
      </c>
      <c r="Z215" s="178">
        <f t="shared" si="1127"/>
        <v>7000</v>
      </c>
      <c r="AA215" s="174">
        <f t="shared" si="1128"/>
        <v>15947</v>
      </c>
      <c r="AB215" s="95" t="str">
        <f t="shared" si="1129"/>
        <v/>
      </c>
      <c r="AC215" s="125"/>
      <c r="AD215" s="66">
        <f t="shared" si="1039"/>
        <v>11247</v>
      </c>
      <c r="AE215" s="67">
        <f t="shared" si="1040"/>
        <v>0.7052737192</v>
      </c>
      <c r="AF215" s="66">
        <f t="shared" si="1041"/>
        <v>-4700</v>
      </c>
      <c r="AG215" s="67">
        <f t="shared" si="1042"/>
        <v>0</v>
      </c>
      <c r="AH215" s="179"/>
      <c r="AI215" s="47" t="str">
        <f t="shared" si="1130"/>
        <v/>
      </c>
      <c r="AJ215" s="47" t="str">
        <f t="shared" ref="AJ215:AT215" si="1146">IFERROR(IF(AJ$3="A",CN215,IF(AJ$3="F",DB215,IF(AJ$3="B",BL215,0))),"")</f>
        <v/>
      </c>
      <c r="AK215" s="47" t="str">
        <f t="shared" si="1146"/>
        <v/>
      </c>
      <c r="AL215" s="47" t="str">
        <f t="shared" si="1146"/>
        <v/>
      </c>
      <c r="AM215" s="47" t="str">
        <f t="shared" si="1146"/>
        <v/>
      </c>
      <c r="AN215" s="47" t="str">
        <f t="shared" si="1146"/>
        <v/>
      </c>
      <c r="AO215" s="47" t="str">
        <f t="shared" si="1146"/>
        <v/>
      </c>
      <c r="AP215" s="47" t="str">
        <f t="shared" si="1146"/>
        <v/>
      </c>
      <c r="AQ215" s="47" t="str">
        <f t="shared" si="1146"/>
        <v/>
      </c>
      <c r="AR215" s="47">
        <f t="shared" si="1146"/>
        <v>3000</v>
      </c>
      <c r="AS215" s="47">
        <f t="shared" si="1146"/>
        <v>1500</v>
      </c>
      <c r="AT215" s="47">
        <f t="shared" si="1146"/>
        <v>200</v>
      </c>
      <c r="AU215" s="180">
        <f t="shared" si="1045"/>
        <v>4700</v>
      </c>
      <c r="AV215" s="127"/>
      <c r="AW215" s="47" t="str">
        <f t="shared" ref="AW215:BH215" si="1147">IFERROR(IF(AW$3="A",CM215,IF(AW$3="B",BK215)),0)</f>
        <v/>
      </c>
      <c r="AX215" s="47" t="str">
        <f t="shared" si="1147"/>
        <v/>
      </c>
      <c r="AY215" s="47" t="str">
        <f t="shared" si="1147"/>
        <v/>
      </c>
      <c r="AZ215" s="47" t="str">
        <f t="shared" si="1147"/>
        <v/>
      </c>
      <c r="BA215" s="47" t="str">
        <f t="shared" si="1147"/>
        <v/>
      </c>
      <c r="BB215" s="47" t="str">
        <f t="shared" si="1147"/>
        <v/>
      </c>
      <c r="BC215" s="47">
        <f t="shared" si="1147"/>
        <v>300</v>
      </c>
      <c r="BD215" s="47">
        <f t="shared" si="1147"/>
        <v>500</v>
      </c>
      <c r="BE215" s="47">
        <f t="shared" si="1147"/>
        <v>1500</v>
      </c>
      <c r="BF215" s="47">
        <f t="shared" si="1147"/>
        <v>3000</v>
      </c>
      <c r="BG215" s="47">
        <f t="shared" si="1147"/>
        <v>1500</v>
      </c>
      <c r="BH215" s="47">
        <f t="shared" si="1147"/>
        <v>200</v>
      </c>
      <c r="BI215" s="180">
        <f t="shared" si="1047"/>
        <v>7000</v>
      </c>
      <c r="BJ215" s="179"/>
      <c r="BK215" s="128">
        <v>1380.0</v>
      </c>
      <c r="BL215" s="128">
        <v>2267.0</v>
      </c>
      <c r="BM215" s="128">
        <v>2000.0</v>
      </c>
      <c r="BN215" s="128">
        <v>1500.0</v>
      </c>
      <c r="BO215" s="128">
        <v>1500.0</v>
      </c>
      <c r="BP215" s="128">
        <v>300.0</v>
      </c>
      <c r="BQ215" s="128">
        <v>300.0</v>
      </c>
      <c r="BR215" s="128">
        <v>500.0</v>
      </c>
      <c r="BS215" s="128">
        <v>1500.0</v>
      </c>
      <c r="BT215" s="128">
        <v>3000.0</v>
      </c>
      <c r="BU215" s="128">
        <v>1500.0</v>
      </c>
      <c r="BV215" s="128">
        <v>200.0</v>
      </c>
      <c r="BW215" s="181">
        <v>15947.0</v>
      </c>
      <c r="BX215" s="182"/>
      <c r="BY215" s="47"/>
      <c r="BZ215" s="47"/>
      <c r="CA215" s="47"/>
      <c r="CB215" s="47"/>
      <c r="CC215" s="47"/>
      <c r="CD215" s="47"/>
      <c r="CE215" s="47"/>
      <c r="CF215" s="47"/>
      <c r="CG215" s="47"/>
      <c r="CH215" s="47"/>
      <c r="CI215" s="47"/>
      <c r="CJ215" s="47"/>
      <c r="CK215" s="180"/>
      <c r="CL215" s="178"/>
      <c r="CM215" s="47"/>
      <c r="CN215" s="47"/>
      <c r="CO215" s="47"/>
      <c r="CP215" s="47"/>
      <c r="CQ215" s="47"/>
      <c r="CR215" s="47"/>
      <c r="CS215" s="47"/>
      <c r="CT215" s="47"/>
      <c r="CU215" s="47"/>
      <c r="CV215" s="47"/>
      <c r="CW215" s="47"/>
      <c r="CX215" s="47"/>
      <c r="CY215" s="180"/>
      <c r="CZ215" s="183"/>
      <c r="DA215" s="178">
        <f t="shared" si="1133"/>
        <v>1380</v>
      </c>
      <c r="DB215" s="178"/>
      <c r="DC215" s="178"/>
      <c r="DD215" s="178"/>
      <c r="DE215" s="47"/>
      <c r="DF215" s="47"/>
      <c r="DG215" s="47"/>
      <c r="DH215" s="47"/>
      <c r="DI215" s="47"/>
      <c r="DJ215" s="47"/>
      <c r="DK215" s="47"/>
      <c r="DL215" s="47"/>
      <c r="DM215" s="180">
        <f t="shared" si="1049"/>
        <v>1380</v>
      </c>
      <c r="DN215" s="182"/>
      <c r="DO215" s="243"/>
      <c r="DP215" s="243"/>
      <c r="DQ215" s="131"/>
    </row>
    <row r="216" outlineLevel="2">
      <c r="A216" s="15"/>
      <c r="B216" s="173" t="s">
        <v>204</v>
      </c>
      <c r="C216" s="124"/>
      <c r="D216" s="174">
        <f t="shared" si="1119"/>
        <v>0</v>
      </c>
      <c r="E216" s="174">
        <f t="shared" si="1120"/>
        <v>0</v>
      </c>
      <c r="F216" s="174">
        <f t="shared" si="1121"/>
        <v>100</v>
      </c>
      <c r="G216" s="174">
        <f t="shared" si="1122"/>
        <v>0</v>
      </c>
      <c r="H216" s="175"/>
      <c r="I216" s="176">
        <f t="shared" si="1022"/>
        <v>0</v>
      </c>
      <c r="J216" s="177">
        <f t="shared" si="1023"/>
        <v>0</v>
      </c>
      <c r="K216" s="176">
        <f t="shared" si="1024"/>
        <v>100</v>
      </c>
      <c r="L216" s="177">
        <f t="shared" si="1025"/>
        <v>1</v>
      </c>
      <c r="M216" s="176">
        <f t="shared" si="1026"/>
        <v>0</v>
      </c>
      <c r="N216" s="177">
        <f t="shared" si="1027"/>
        <v>0</v>
      </c>
      <c r="O216" s="175"/>
      <c r="P216" s="178">
        <f t="shared" si="1123"/>
        <v>0</v>
      </c>
      <c r="Q216" s="174">
        <f t="shared" si="1124"/>
        <v>1700</v>
      </c>
      <c r="R216" s="174">
        <f t="shared" si="1125"/>
        <v>0</v>
      </c>
      <c r="S216" s="175"/>
      <c r="T216" s="176">
        <f t="shared" si="1031"/>
        <v>1700</v>
      </c>
      <c r="U216" s="67">
        <f t="shared" si="1032"/>
        <v>1</v>
      </c>
      <c r="V216" s="66">
        <f t="shared" si="1033"/>
        <v>0</v>
      </c>
      <c r="W216" s="67">
        <f t="shared" si="1034"/>
        <v>0</v>
      </c>
      <c r="X216" s="48"/>
      <c r="Y216" s="178">
        <f t="shared" si="1126"/>
        <v>900</v>
      </c>
      <c r="Z216" s="178">
        <f t="shared" si="1127"/>
        <v>1050</v>
      </c>
      <c r="AA216" s="174">
        <f t="shared" si="1128"/>
        <v>2750</v>
      </c>
      <c r="AB216" s="95" t="str">
        <f t="shared" si="1129"/>
        <v/>
      </c>
      <c r="AC216" s="125"/>
      <c r="AD216" s="66">
        <f t="shared" si="1039"/>
        <v>1850</v>
      </c>
      <c r="AE216" s="67">
        <f t="shared" si="1040"/>
        <v>0.6727272727</v>
      </c>
      <c r="AF216" s="66">
        <f t="shared" si="1041"/>
        <v>-900</v>
      </c>
      <c r="AG216" s="67">
        <f t="shared" si="1042"/>
        <v>0</v>
      </c>
      <c r="AH216" s="179"/>
      <c r="AI216" s="47" t="str">
        <f t="shared" si="1130"/>
        <v/>
      </c>
      <c r="AJ216" s="47" t="str">
        <f t="shared" ref="AJ216:AT216" si="1148">IFERROR(IF(AJ$3="A",CN216,IF(AJ$3="F",DB216,IF(AJ$3="B",BL216,0))),"")</f>
        <v/>
      </c>
      <c r="AK216" s="47" t="str">
        <f t="shared" si="1148"/>
        <v/>
      </c>
      <c r="AL216" s="47" t="str">
        <f t="shared" si="1148"/>
        <v/>
      </c>
      <c r="AM216" s="47" t="str">
        <f t="shared" si="1148"/>
        <v/>
      </c>
      <c r="AN216" s="47" t="str">
        <f t="shared" si="1148"/>
        <v/>
      </c>
      <c r="AO216" s="47" t="str">
        <f t="shared" si="1148"/>
        <v/>
      </c>
      <c r="AP216" s="47" t="str">
        <f t="shared" si="1148"/>
        <v/>
      </c>
      <c r="AQ216" s="47" t="str">
        <f t="shared" si="1148"/>
        <v/>
      </c>
      <c r="AR216" s="47">
        <f t="shared" si="1148"/>
        <v>400</v>
      </c>
      <c r="AS216" s="47">
        <f t="shared" si="1148"/>
        <v>400</v>
      </c>
      <c r="AT216" s="47">
        <f t="shared" si="1148"/>
        <v>100</v>
      </c>
      <c r="AU216" s="180">
        <f t="shared" si="1045"/>
        <v>900</v>
      </c>
      <c r="AV216" s="127"/>
      <c r="AW216" s="47" t="str">
        <f t="shared" ref="AW216:BH216" si="1149">IFERROR(IF(AW$3="A",CM216,IF(AW$3="B",BK216)),0)</f>
        <v/>
      </c>
      <c r="AX216" s="47" t="str">
        <f t="shared" si="1149"/>
        <v/>
      </c>
      <c r="AY216" s="47" t="str">
        <f t="shared" si="1149"/>
        <v/>
      </c>
      <c r="AZ216" s="47" t="str">
        <f t="shared" si="1149"/>
        <v/>
      </c>
      <c r="BA216" s="47" t="str">
        <f t="shared" si="1149"/>
        <v/>
      </c>
      <c r="BB216" s="47" t="str">
        <f t="shared" si="1149"/>
        <v/>
      </c>
      <c r="BC216" s="47">
        <f t="shared" si="1149"/>
        <v>0</v>
      </c>
      <c r="BD216" s="47">
        <f t="shared" si="1149"/>
        <v>0</v>
      </c>
      <c r="BE216" s="47">
        <f t="shared" si="1149"/>
        <v>150</v>
      </c>
      <c r="BF216" s="47">
        <f t="shared" si="1149"/>
        <v>400</v>
      </c>
      <c r="BG216" s="47">
        <f t="shared" si="1149"/>
        <v>400</v>
      </c>
      <c r="BH216" s="47">
        <f t="shared" si="1149"/>
        <v>100</v>
      </c>
      <c r="BI216" s="180">
        <f t="shared" si="1047"/>
        <v>1050</v>
      </c>
      <c r="BJ216" s="179"/>
      <c r="BK216" s="128">
        <v>0.0</v>
      </c>
      <c r="BL216" s="128">
        <v>250.0</v>
      </c>
      <c r="BM216" s="128">
        <v>300.0</v>
      </c>
      <c r="BN216" s="128">
        <v>1000.0</v>
      </c>
      <c r="BO216" s="128">
        <v>50.0</v>
      </c>
      <c r="BP216" s="128">
        <v>100.0</v>
      </c>
      <c r="BQ216" s="128">
        <v>0.0</v>
      </c>
      <c r="BR216" s="128">
        <v>0.0</v>
      </c>
      <c r="BS216" s="128">
        <v>150.0</v>
      </c>
      <c r="BT216" s="128">
        <v>400.0</v>
      </c>
      <c r="BU216" s="128">
        <v>400.0</v>
      </c>
      <c r="BV216" s="128">
        <v>100.0</v>
      </c>
      <c r="BW216" s="181">
        <v>2750.0</v>
      </c>
      <c r="BX216" s="182"/>
      <c r="BY216" s="47"/>
      <c r="BZ216" s="47"/>
      <c r="CA216" s="47"/>
      <c r="CB216" s="47"/>
      <c r="CC216" s="47"/>
      <c r="CD216" s="47"/>
      <c r="CE216" s="47"/>
      <c r="CF216" s="47"/>
      <c r="CG216" s="47"/>
      <c r="CH216" s="47"/>
      <c r="CI216" s="47"/>
      <c r="CJ216" s="47"/>
      <c r="CK216" s="180"/>
      <c r="CL216" s="178"/>
      <c r="CM216" s="47"/>
      <c r="CN216" s="47"/>
      <c r="CO216" s="47"/>
      <c r="CP216" s="47"/>
      <c r="CQ216" s="47"/>
      <c r="CR216" s="47"/>
      <c r="CS216" s="47"/>
      <c r="CT216" s="47"/>
      <c r="CU216" s="47"/>
      <c r="CV216" s="47"/>
      <c r="CW216" s="47"/>
      <c r="CX216" s="47"/>
      <c r="CY216" s="180"/>
      <c r="CZ216" s="183"/>
      <c r="DA216" s="178">
        <f t="shared" si="1133"/>
        <v>0</v>
      </c>
      <c r="DB216" s="178"/>
      <c r="DC216" s="178"/>
      <c r="DD216" s="178"/>
      <c r="DE216" s="47"/>
      <c r="DF216" s="47"/>
      <c r="DG216" s="47"/>
      <c r="DH216" s="47"/>
      <c r="DI216" s="47"/>
      <c r="DJ216" s="47"/>
      <c r="DK216" s="47"/>
      <c r="DL216" s="47"/>
      <c r="DM216" s="180">
        <f t="shared" si="1049"/>
        <v>0</v>
      </c>
      <c r="DN216" s="182"/>
      <c r="DO216" s="243"/>
      <c r="DP216" s="243"/>
      <c r="DQ216" s="131"/>
    </row>
    <row r="217" outlineLevel="2">
      <c r="A217" s="15"/>
      <c r="B217" s="173" t="s">
        <v>205</v>
      </c>
      <c r="C217" s="124"/>
      <c r="D217" s="174">
        <f t="shared" si="1119"/>
        <v>0</v>
      </c>
      <c r="E217" s="174">
        <f t="shared" si="1120"/>
        <v>0</v>
      </c>
      <c r="F217" s="174">
        <f t="shared" si="1121"/>
        <v>64</v>
      </c>
      <c r="G217" s="174">
        <f t="shared" si="1122"/>
        <v>0</v>
      </c>
      <c r="H217" s="175"/>
      <c r="I217" s="176">
        <f t="shared" si="1022"/>
        <v>0</v>
      </c>
      <c r="J217" s="177">
        <f t="shared" si="1023"/>
        <v>0</v>
      </c>
      <c r="K217" s="176">
        <f t="shared" si="1024"/>
        <v>64</v>
      </c>
      <c r="L217" s="177">
        <f t="shared" si="1025"/>
        <v>1</v>
      </c>
      <c r="M217" s="176">
        <f t="shared" si="1026"/>
        <v>0</v>
      </c>
      <c r="N217" s="177">
        <f t="shared" si="1027"/>
        <v>0</v>
      </c>
      <c r="O217" s="175"/>
      <c r="P217" s="178">
        <f t="shared" si="1123"/>
        <v>0</v>
      </c>
      <c r="Q217" s="174">
        <f t="shared" si="1124"/>
        <v>1184</v>
      </c>
      <c r="R217" s="174">
        <f t="shared" si="1125"/>
        <v>0</v>
      </c>
      <c r="S217" s="48"/>
      <c r="T217" s="66">
        <f t="shared" si="1031"/>
        <v>1184</v>
      </c>
      <c r="U217" s="67">
        <f t="shared" si="1032"/>
        <v>1</v>
      </c>
      <c r="V217" s="66">
        <f t="shared" si="1033"/>
        <v>0</v>
      </c>
      <c r="W217" s="67">
        <f t="shared" si="1034"/>
        <v>0</v>
      </c>
      <c r="X217" s="48"/>
      <c r="Y217" s="178">
        <f t="shared" si="1126"/>
        <v>627</v>
      </c>
      <c r="Z217" s="178">
        <f t="shared" si="1127"/>
        <v>1717</v>
      </c>
      <c r="AA217" s="174">
        <f t="shared" si="1128"/>
        <v>2901</v>
      </c>
      <c r="AB217" s="95" t="str">
        <f t="shared" si="1129"/>
        <v/>
      </c>
      <c r="AC217" s="125"/>
      <c r="AD217" s="66">
        <f t="shared" si="1039"/>
        <v>2274</v>
      </c>
      <c r="AE217" s="67">
        <f t="shared" si="1040"/>
        <v>0.7838676319</v>
      </c>
      <c r="AF217" s="66">
        <f t="shared" si="1041"/>
        <v>-627</v>
      </c>
      <c r="AG217" s="67">
        <f t="shared" si="1042"/>
        <v>0</v>
      </c>
      <c r="AH217" s="179"/>
      <c r="AI217" s="47" t="str">
        <f t="shared" si="1130"/>
        <v/>
      </c>
      <c r="AJ217" s="47" t="str">
        <f t="shared" ref="AJ217:AT217" si="1150">IFERROR(IF(AJ$3="A",CN217,IF(AJ$3="F",DB217,IF(AJ$3="B",BL217,0))),"")</f>
        <v/>
      </c>
      <c r="AK217" s="47" t="str">
        <f t="shared" si="1150"/>
        <v/>
      </c>
      <c r="AL217" s="47" t="str">
        <f t="shared" si="1150"/>
        <v/>
      </c>
      <c r="AM217" s="47" t="str">
        <f t="shared" si="1150"/>
        <v/>
      </c>
      <c r="AN217" s="47" t="str">
        <f t="shared" si="1150"/>
        <v/>
      </c>
      <c r="AO217" s="47" t="str">
        <f t="shared" si="1150"/>
        <v/>
      </c>
      <c r="AP217" s="47" t="str">
        <f t="shared" si="1150"/>
        <v/>
      </c>
      <c r="AQ217" s="47" t="str">
        <f t="shared" si="1150"/>
        <v/>
      </c>
      <c r="AR217" s="47">
        <f t="shared" si="1150"/>
        <v>490</v>
      </c>
      <c r="AS217" s="47">
        <f t="shared" si="1150"/>
        <v>87</v>
      </c>
      <c r="AT217" s="47">
        <f t="shared" si="1150"/>
        <v>50</v>
      </c>
      <c r="AU217" s="180">
        <f t="shared" si="1045"/>
        <v>627</v>
      </c>
      <c r="AV217" s="127"/>
      <c r="AW217" s="47" t="str">
        <f t="shared" ref="AW217:BH217" si="1151">IFERROR(IF(AW$3="A",CM217,IF(AW$3="B",BK217)),0)</f>
        <v/>
      </c>
      <c r="AX217" s="47" t="str">
        <f t="shared" si="1151"/>
        <v/>
      </c>
      <c r="AY217" s="47" t="str">
        <f t="shared" si="1151"/>
        <v/>
      </c>
      <c r="AZ217" s="47" t="str">
        <f t="shared" si="1151"/>
        <v/>
      </c>
      <c r="BA217" s="47" t="str">
        <f t="shared" si="1151"/>
        <v/>
      </c>
      <c r="BB217" s="47" t="str">
        <f t="shared" si="1151"/>
        <v/>
      </c>
      <c r="BC217" s="47">
        <f t="shared" si="1151"/>
        <v>550</v>
      </c>
      <c r="BD217" s="47">
        <f t="shared" si="1151"/>
        <v>500</v>
      </c>
      <c r="BE217" s="47">
        <f t="shared" si="1151"/>
        <v>40</v>
      </c>
      <c r="BF217" s="47">
        <f t="shared" si="1151"/>
        <v>490</v>
      </c>
      <c r="BG217" s="47">
        <f t="shared" si="1151"/>
        <v>87</v>
      </c>
      <c r="BH217" s="47">
        <f t="shared" si="1151"/>
        <v>50</v>
      </c>
      <c r="BI217" s="180">
        <f t="shared" si="1047"/>
        <v>1717</v>
      </c>
      <c r="BJ217" s="179"/>
      <c r="BK217" s="128">
        <v>50.0</v>
      </c>
      <c r="BL217" s="128">
        <v>220.0</v>
      </c>
      <c r="BM217" s="128">
        <v>100.0</v>
      </c>
      <c r="BN217" s="128">
        <v>150.0</v>
      </c>
      <c r="BO217" s="128">
        <v>600.0</v>
      </c>
      <c r="BP217" s="128">
        <v>64.0</v>
      </c>
      <c r="BQ217" s="128">
        <v>550.0</v>
      </c>
      <c r="BR217" s="128">
        <v>500.0</v>
      </c>
      <c r="BS217" s="128">
        <v>40.0</v>
      </c>
      <c r="BT217" s="128">
        <v>490.0</v>
      </c>
      <c r="BU217" s="128">
        <v>87.0</v>
      </c>
      <c r="BV217" s="128">
        <v>50.0</v>
      </c>
      <c r="BW217" s="181">
        <v>2901.0</v>
      </c>
      <c r="BX217" s="182"/>
      <c r="BY217" s="47"/>
      <c r="BZ217" s="47"/>
      <c r="CA217" s="47"/>
      <c r="CB217" s="47"/>
      <c r="CC217" s="47"/>
      <c r="CD217" s="47"/>
      <c r="CE217" s="47"/>
      <c r="CF217" s="47"/>
      <c r="CG217" s="47"/>
      <c r="CH217" s="47"/>
      <c r="CI217" s="47"/>
      <c r="CJ217" s="47"/>
      <c r="CK217" s="180"/>
      <c r="CL217" s="178"/>
      <c r="CM217" s="47"/>
      <c r="CN217" s="47"/>
      <c r="CO217" s="47"/>
      <c r="CP217" s="47"/>
      <c r="CQ217" s="47"/>
      <c r="CR217" s="47"/>
      <c r="CS217" s="47"/>
      <c r="CT217" s="47"/>
      <c r="CU217" s="47"/>
      <c r="CV217" s="47"/>
      <c r="CW217" s="47"/>
      <c r="CX217" s="47"/>
      <c r="CY217" s="180"/>
      <c r="CZ217" s="183"/>
      <c r="DA217" s="178">
        <f t="shared" si="1133"/>
        <v>50</v>
      </c>
      <c r="DB217" s="178"/>
      <c r="DC217" s="178"/>
      <c r="DD217" s="178"/>
      <c r="DE217" s="47"/>
      <c r="DF217" s="47"/>
      <c r="DG217" s="47"/>
      <c r="DH217" s="47"/>
      <c r="DI217" s="47"/>
      <c r="DJ217" s="47"/>
      <c r="DK217" s="47"/>
      <c r="DL217" s="47"/>
      <c r="DM217" s="180">
        <f t="shared" si="1049"/>
        <v>50</v>
      </c>
      <c r="DN217" s="182"/>
      <c r="DO217" s="243"/>
      <c r="DP217" s="243"/>
      <c r="DQ217" s="131"/>
    </row>
    <row r="218" outlineLevel="2">
      <c r="A218" s="15"/>
      <c r="B218" s="173" t="s">
        <v>206</v>
      </c>
      <c r="C218" s="124"/>
      <c r="D218" s="174">
        <f t="shared" si="1119"/>
        <v>0</v>
      </c>
      <c r="E218" s="174">
        <f t="shared" si="1120"/>
        <v>0</v>
      </c>
      <c r="F218" s="174">
        <f t="shared" si="1121"/>
        <v>200</v>
      </c>
      <c r="G218" s="174">
        <f t="shared" si="1122"/>
        <v>0</v>
      </c>
      <c r="H218" s="175"/>
      <c r="I218" s="176">
        <f t="shared" si="1022"/>
        <v>0</v>
      </c>
      <c r="J218" s="177">
        <f t="shared" si="1023"/>
        <v>0</v>
      </c>
      <c r="K218" s="176">
        <f t="shared" si="1024"/>
        <v>200</v>
      </c>
      <c r="L218" s="177">
        <f t="shared" si="1025"/>
        <v>1</v>
      </c>
      <c r="M218" s="176">
        <f t="shared" si="1026"/>
        <v>0</v>
      </c>
      <c r="N218" s="177">
        <f t="shared" si="1027"/>
        <v>0</v>
      </c>
      <c r="O218" s="175"/>
      <c r="P218" s="178">
        <f t="shared" si="1123"/>
        <v>0</v>
      </c>
      <c r="Q218" s="174">
        <f t="shared" si="1124"/>
        <v>1500</v>
      </c>
      <c r="R218" s="174">
        <f t="shared" si="1125"/>
        <v>0</v>
      </c>
      <c r="S218" s="48"/>
      <c r="T218" s="66">
        <f t="shared" si="1031"/>
        <v>1500</v>
      </c>
      <c r="U218" s="67">
        <f t="shared" si="1032"/>
        <v>1</v>
      </c>
      <c r="V218" s="66">
        <f t="shared" si="1033"/>
        <v>0</v>
      </c>
      <c r="W218" s="67">
        <f t="shared" si="1034"/>
        <v>0</v>
      </c>
      <c r="X218" s="48"/>
      <c r="Y218" s="178">
        <f t="shared" si="1126"/>
        <v>350</v>
      </c>
      <c r="Z218" s="178">
        <f t="shared" si="1127"/>
        <v>800</v>
      </c>
      <c r="AA218" s="174">
        <f t="shared" si="1128"/>
        <v>2300</v>
      </c>
      <c r="AB218" s="95" t="str">
        <f t="shared" si="1129"/>
        <v/>
      </c>
      <c r="AC218" s="125"/>
      <c r="AD218" s="66">
        <f t="shared" si="1039"/>
        <v>1950</v>
      </c>
      <c r="AE218" s="67">
        <f t="shared" si="1040"/>
        <v>0.847826087</v>
      </c>
      <c r="AF218" s="66">
        <f t="shared" si="1041"/>
        <v>-350</v>
      </c>
      <c r="AG218" s="67">
        <f t="shared" si="1042"/>
        <v>0</v>
      </c>
      <c r="AH218" s="179"/>
      <c r="AI218" s="47" t="str">
        <f t="shared" si="1130"/>
        <v/>
      </c>
      <c r="AJ218" s="47" t="str">
        <f t="shared" ref="AJ218:AT218" si="1152">IFERROR(IF(AJ$3="A",CN218,IF(AJ$3="F",DB218,IF(AJ$3="B",BL218,0))),"")</f>
        <v/>
      </c>
      <c r="AK218" s="47" t="str">
        <f t="shared" si="1152"/>
        <v/>
      </c>
      <c r="AL218" s="47" t="str">
        <f t="shared" si="1152"/>
        <v/>
      </c>
      <c r="AM218" s="47" t="str">
        <f t="shared" si="1152"/>
        <v/>
      </c>
      <c r="AN218" s="47" t="str">
        <f t="shared" si="1152"/>
        <v/>
      </c>
      <c r="AO218" s="47" t="str">
        <f t="shared" si="1152"/>
        <v/>
      </c>
      <c r="AP218" s="47" t="str">
        <f t="shared" si="1152"/>
        <v/>
      </c>
      <c r="AQ218" s="47" t="str">
        <f t="shared" si="1152"/>
        <v/>
      </c>
      <c r="AR218" s="47">
        <f t="shared" si="1152"/>
        <v>50</v>
      </c>
      <c r="AS218" s="47">
        <f t="shared" si="1152"/>
        <v>250</v>
      </c>
      <c r="AT218" s="47">
        <f t="shared" si="1152"/>
        <v>50</v>
      </c>
      <c r="AU218" s="180">
        <f t="shared" si="1045"/>
        <v>350</v>
      </c>
      <c r="AV218" s="127"/>
      <c r="AW218" s="47" t="str">
        <f t="shared" ref="AW218:BH218" si="1153">IFERROR(IF(AW$3="A",CM218,IF(AW$3="B",BK218)),0)</f>
        <v/>
      </c>
      <c r="AX218" s="47" t="str">
        <f t="shared" si="1153"/>
        <v/>
      </c>
      <c r="AY218" s="47" t="str">
        <f t="shared" si="1153"/>
        <v/>
      </c>
      <c r="AZ218" s="47" t="str">
        <f t="shared" si="1153"/>
        <v/>
      </c>
      <c r="BA218" s="47" t="str">
        <f t="shared" si="1153"/>
        <v/>
      </c>
      <c r="BB218" s="47" t="str">
        <f t="shared" si="1153"/>
        <v/>
      </c>
      <c r="BC218" s="47">
        <f t="shared" si="1153"/>
        <v>50</v>
      </c>
      <c r="BD218" s="47">
        <f t="shared" si="1153"/>
        <v>400</v>
      </c>
      <c r="BE218" s="47">
        <f t="shared" si="1153"/>
        <v>0</v>
      </c>
      <c r="BF218" s="47">
        <f t="shared" si="1153"/>
        <v>50</v>
      </c>
      <c r="BG218" s="47">
        <f t="shared" si="1153"/>
        <v>250</v>
      </c>
      <c r="BH218" s="47">
        <f t="shared" si="1153"/>
        <v>50</v>
      </c>
      <c r="BI218" s="180">
        <f t="shared" si="1047"/>
        <v>800</v>
      </c>
      <c r="BJ218" s="179"/>
      <c r="BK218" s="128">
        <v>400.0</v>
      </c>
      <c r="BL218" s="128">
        <v>200.0</v>
      </c>
      <c r="BM218" s="128">
        <v>400.0</v>
      </c>
      <c r="BN218" s="128">
        <v>50.0</v>
      </c>
      <c r="BO218" s="128">
        <v>250.0</v>
      </c>
      <c r="BP218" s="128">
        <v>200.0</v>
      </c>
      <c r="BQ218" s="128">
        <v>50.0</v>
      </c>
      <c r="BR218" s="128">
        <v>400.0</v>
      </c>
      <c r="BS218" s="128">
        <v>0.0</v>
      </c>
      <c r="BT218" s="128">
        <v>50.0</v>
      </c>
      <c r="BU218" s="128">
        <v>250.0</v>
      </c>
      <c r="BV218" s="128">
        <v>50.0</v>
      </c>
      <c r="BW218" s="181">
        <v>2300.0</v>
      </c>
      <c r="BX218" s="182"/>
      <c r="BY218" s="47"/>
      <c r="BZ218" s="47"/>
      <c r="CA218" s="47"/>
      <c r="CB218" s="47"/>
      <c r="CC218" s="47"/>
      <c r="CD218" s="47"/>
      <c r="CE218" s="47"/>
      <c r="CF218" s="47"/>
      <c r="CG218" s="47"/>
      <c r="CH218" s="47"/>
      <c r="CI218" s="47"/>
      <c r="CJ218" s="47"/>
      <c r="CK218" s="180"/>
      <c r="CL218" s="178"/>
      <c r="CM218" s="47"/>
      <c r="CN218" s="47"/>
      <c r="CO218" s="47"/>
      <c r="CP218" s="47"/>
      <c r="CQ218" s="47"/>
      <c r="CR218" s="47"/>
      <c r="CS218" s="47"/>
      <c r="CT218" s="47"/>
      <c r="CU218" s="47"/>
      <c r="CV218" s="47"/>
      <c r="CW218" s="47"/>
      <c r="CX218" s="47"/>
      <c r="CY218" s="180"/>
      <c r="CZ218" s="183"/>
      <c r="DA218" s="178">
        <f t="shared" si="1133"/>
        <v>400</v>
      </c>
      <c r="DB218" s="178"/>
      <c r="DC218" s="178"/>
      <c r="DD218" s="178"/>
      <c r="DE218" s="47"/>
      <c r="DF218" s="47"/>
      <c r="DG218" s="47"/>
      <c r="DH218" s="47"/>
      <c r="DI218" s="47"/>
      <c r="DJ218" s="47"/>
      <c r="DK218" s="47"/>
      <c r="DL218" s="47"/>
      <c r="DM218" s="180">
        <f t="shared" si="1049"/>
        <v>400</v>
      </c>
      <c r="DN218" s="182"/>
      <c r="DO218" s="243"/>
      <c r="DP218" s="243"/>
      <c r="DQ218" s="131"/>
    </row>
    <row r="219" outlineLevel="2">
      <c r="A219" s="15"/>
      <c r="B219" s="173" t="s">
        <v>207</v>
      </c>
      <c r="C219" s="124"/>
      <c r="D219" s="174">
        <f t="shared" si="1119"/>
        <v>0</v>
      </c>
      <c r="E219" s="174">
        <f t="shared" si="1120"/>
        <v>0</v>
      </c>
      <c r="F219" s="174">
        <f t="shared" si="1121"/>
        <v>0</v>
      </c>
      <c r="G219" s="174">
        <f t="shared" si="1122"/>
        <v>0</v>
      </c>
      <c r="H219" s="175"/>
      <c r="I219" s="176">
        <f t="shared" si="1022"/>
        <v>0</v>
      </c>
      <c r="J219" s="177">
        <f t="shared" si="1023"/>
        <v>0</v>
      </c>
      <c r="K219" s="176">
        <f t="shared" si="1024"/>
        <v>0</v>
      </c>
      <c r="L219" s="177">
        <f t="shared" si="1025"/>
        <v>0</v>
      </c>
      <c r="M219" s="176">
        <f t="shared" si="1026"/>
        <v>0</v>
      </c>
      <c r="N219" s="177">
        <f t="shared" si="1027"/>
        <v>0</v>
      </c>
      <c r="O219" s="175"/>
      <c r="P219" s="178">
        <f t="shared" si="1123"/>
        <v>0</v>
      </c>
      <c r="Q219" s="174">
        <f t="shared" si="1124"/>
        <v>0</v>
      </c>
      <c r="R219" s="174">
        <f t="shared" si="1125"/>
        <v>0</v>
      </c>
      <c r="S219" s="48"/>
      <c r="T219" s="66">
        <f t="shared" si="1031"/>
        <v>0</v>
      </c>
      <c r="U219" s="67">
        <f t="shared" si="1032"/>
        <v>0</v>
      </c>
      <c r="V219" s="66">
        <f t="shared" si="1033"/>
        <v>0</v>
      </c>
      <c r="W219" s="67">
        <f t="shared" si="1034"/>
        <v>0</v>
      </c>
      <c r="X219" s="48"/>
      <c r="Y219" s="178">
        <f t="shared" si="1126"/>
        <v>0</v>
      </c>
      <c r="Z219" s="178">
        <f t="shared" si="1127"/>
        <v>0</v>
      </c>
      <c r="AA219" s="174">
        <f t="shared" si="1128"/>
        <v>0</v>
      </c>
      <c r="AB219" s="95" t="str">
        <f t="shared" si="1129"/>
        <v/>
      </c>
      <c r="AC219" s="125"/>
      <c r="AD219" s="66">
        <f t="shared" si="1039"/>
        <v>0</v>
      </c>
      <c r="AE219" s="67">
        <f t="shared" si="1040"/>
        <v>0</v>
      </c>
      <c r="AF219" s="66">
        <f t="shared" si="1041"/>
        <v>0</v>
      </c>
      <c r="AG219" s="67">
        <f t="shared" si="1042"/>
        <v>0</v>
      </c>
      <c r="AH219" s="179"/>
      <c r="AI219" s="47" t="str">
        <f t="shared" si="1130"/>
        <v/>
      </c>
      <c r="AJ219" s="47" t="str">
        <f t="shared" ref="AJ219:AT219" si="1154">IFERROR(IF(AJ$3="A",CN219,IF(AJ$3="F",DB219,IF(AJ$3="B",BL219,0))),"")</f>
        <v/>
      </c>
      <c r="AK219" s="47" t="str">
        <f t="shared" si="1154"/>
        <v/>
      </c>
      <c r="AL219" s="47" t="str">
        <f t="shared" si="1154"/>
        <v/>
      </c>
      <c r="AM219" s="47" t="str">
        <f t="shared" si="1154"/>
        <v/>
      </c>
      <c r="AN219" s="47" t="str">
        <f t="shared" si="1154"/>
        <v/>
      </c>
      <c r="AO219" s="47" t="str">
        <f t="shared" si="1154"/>
        <v/>
      </c>
      <c r="AP219" s="47" t="str">
        <f t="shared" si="1154"/>
        <v/>
      </c>
      <c r="AQ219" s="47" t="str">
        <f t="shared" si="1154"/>
        <v/>
      </c>
      <c r="AR219" s="47">
        <f t="shared" si="1154"/>
        <v>0</v>
      </c>
      <c r="AS219" s="47">
        <f t="shared" si="1154"/>
        <v>0</v>
      </c>
      <c r="AT219" s="47" t="str">
        <f t="shared" si="1154"/>
        <v/>
      </c>
      <c r="AU219" s="180">
        <f t="shared" si="1045"/>
        <v>0</v>
      </c>
      <c r="AV219" s="127"/>
      <c r="AW219" s="47" t="str">
        <f t="shared" ref="AW219:BH219" si="1155">IFERROR(IF(AW$3="A",CM219,IF(AW$3="B",BK219)),0)</f>
        <v/>
      </c>
      <c r="AX219" s="47" t="str">
        <f t="shared" si="1155"/>
        <v/>
      </c>
      <c r="AY219" s="47" t="str">
        <f t="shared" si="1155"/>
        <v/>
      </c>
      <c r="AZ219" s="47" t="str">
        <f t="shared" si="1155"/>
        <v/>
      </c>
      <c r="BA219" s="47" t="str">
        <f t="shared" si="1155"/>
        <v/>
      </c>
      <c r="BB219" s="47" t="str">
        <f t="shared" si="1155"/>
        <v/>
      </c>
      <c r="BC219" s="47">
        <f t="shared" si="1155"/>
        <v>0</v>
      </c>
      <c r="BD219" s="47">
        <f t="shared" si="1155"/>
        <v>0</v>
      </c>
      <c r="BE219" s="47">
        <f t="shared" si="1155"/>
        <v>0</v>
      </c>
      <c r="BF219" s="47">
        <f t="shared" si="1155"/>
        <v>0</v>
      </c>
      <c r="BG219" s="47">
        <f t="shared" si="1155"/>
        <v>0</v>
      </c>
      <c r="BH219" s="47" t="str">
        <f t="shared" si="1155"/>
        <v/>
      </c>
      <c r="BI219" s="180">
        <f t="shared" si="1047"/>
        <v>0</v>
      </c>
      <c r="BJ219" s="179"/>
      <c r="BK219" s="128">
        <v>0.0</v>
      </c>
      <c r="BL219" s="128">
        <v>0.0</v>
      </c>
      <c r="BM219" s="128">
        <v>0.0</v>
      </c>
      <c r="BN219" s="128">
        <v>0.0</v>
      </c>
      <c r="BO219" s="128">
        <v>0.0</v>
      </c>
      <c r="BP219" s="128">
        <v>0.0</v>
      </c>
      <c r="BQ219" s="128">
        <v>0.0</v>
      </c>
      <c r="BR219" s="128">
        <v>0.0</v>
      </c>
      <c r="BS219" s="128">
        <v>0.0</v>
      </c>
      <c r="BT219" s="128">
        <v>0.0</v>
      </c>
      <c r="BU219" s="128">
        <v>0.0</v>
      </c>
      <c r="BV219" s="47"/>
      <c r="BW219" s="181">
        <v>0.0</v>
      </c>
      <c r="BX219" s="182"/>
      <c r="BY219" s="47"/>
      <c r="BZ219" s="47"/>
      <c r="CA219" s="47"/>
      <c r="CB219" s="47"/>
      <c r="CC219" s="47"/>
      <c r="CD219" s="47"/>
      <c r="CE219" s="47"/>
      <c r="CF219" s="47"/>
      <c r="CG219" s="47"/>
      <c r="CH219" s="47"/>
      <c r="CI219" s="47"/>
      <c r="CJ219" s="47"/>
      <c r="CK219" s="180"/>
      <c r="CL219" s="178"/>
      <c r="CM219" s="47"/>
      <c r="CN219" s="47"/>
      <c r="CO219" s="47"/>
      <c r="CP219" s="47"/>
      <c r="CQ219" s="47"/>
      <c r="CR219" s="47"/>
      <c r="CS219" s="47"/>
      <c r="CT219" s="47"/>
      <c r="CU219" s="47"/>
      <c r="CV219" s="47"/>
      <c r="CW219" s="47"/>
      <c r="CX219" s="47"/>
      <c r="CY219" s="180"/>
      <c r="CZ219" s="183"/>
      <c r="DA219" s="178">
        <f t="shared" si="1133"/>
        <v>0</v>
      </c>
      <c r="DB219" s="178"/>
      <c r="DC219" s="178"/>
      <c r="DD219" s="178"/>
      <c r="DE219" s="47"/>
      <c r="DF219" s="47"/>
      <c r="DG219" s="47"/>
      <c r="DH219" s="47"/>
      <c r="DI219" s="47"/>
      <c r="DJ219" s="47"/>
      <c r="DK219" s="47"/>
      <c r="DL219" s="47"/>
      <c r="DM219" s="180">
        <f t="shared" si="1049"/>
        <v>0</v>
      </c>
      <c r="DN219" s="182"/>
      <c r="DO219" s="243"/>
      <c r="DP219" s="243"/>
      <c r="DQ219" s="131"/>
    </row>
    <row r="220" outlineLevel="2">
      <c r="A220" s="15"/>
      <c r="B220" s="173" t="s">
        <v>208</v>
      </c>
      <c r="C220" s="124"/>
      <c r="D220" s="174">
        <f t="shared" si="1119"/>
        <v>0</v>
      </c>
      <c r="E220" s="174">
        <f t="shared" si="1120"/>
        <v>0</v>
      </c>
      <c r="F220" s="174">
        <f t="shared" si="1121"/>
        <v>0</v>
      </c>
      <c r="G220" s="174">
        <f t="shared" si="1122"/>
        <v>0</v>
      </c>
      <c r="H220" s="175"/>
      <c r="I220" s="176">
        <f t="shared" si="1022"/>
        <v>0</v>
      </c>
      <c r="J220" s="177">
        <f t="shared" si="1023"/>
        <v>0</v>
      </c>
      <c r="K220" s="176">
        <f t="shared" si="1024"/>
        <v>0</v>
      </c>
      <c r="L220" s="177">
        <f t="shared" si="1025"/>
        <v>0</v>
      </c>
      <c r="M220" s="176">
        <f t="shared" si="1026"/>
        <v>0</v>
      </c>
      <c r="N220" s="177">
        <f t="shared" si="1027"/>
        <v>0</v>
      </c>
      <c r="O220" s="175"/>
      <c r="P220" s="178">
        <f t="shared" si="1123"/>
        <v>0</v>
      </c>
      <c r="Q220" s="174">
        <f t="shared" si="1124"/>
        <v>942</v>
      </c>
      <c r="R220" s="174">
        <f t="shared" si="1125"/>
        <v>0</v>
      </c>
      <c r="S220" s="48"/>
      <c r="T220" s="66">
        <f t="shared" si="1031"/>
        <v>942</v>
      </c>
      <c r="U220" s="67">
        <f t="shared" si="1032"/>
        <v>1</v>
      </c>
      <c r="V220" s="66">
        <f t="shared" si="1033"/>
        <v>0</v>
      </c>
      <c r="W220" s="67">
        <f t="shared" si="1034"/>
        <v>0</v>
      </c>
      <c r="X220" s="48"/>
      <c r="Y220" s="178">
        <f t="shared" si="1126"/>
        <v>942</v>
      </c>
      <c r="Z220" s="178">
        <f t="shared" si="1127"/>
        <v>1413</v>
      </c>
      <c r="AA220" s="174">
        <f t="shared" si="1128"/>
        <v>2355</v>
      </c>
      <c r="AB220" s="95" t="str">
        <f t="shared" si="1129"/>
        <v/>
      </c>
      <c r="AC220" s="125"/>
      <c r="AD220" s="66">
        <f t="shared" si="1039"/>
        <v>1413</v>
      </c>
      <c r="AE220" s="67">
        <f t="shared" si="1040"/>
        <v>0.6</v>
      </c>
      <c r="AF220" s="66">
        <f t="shared" si="1041"/>
        <v>-942</v>
      </c>
      <c r="AG220" s="67">
        <f t="shared" si="1042"/>
        <v>0</v>
      </c>
      <c r="AH220" s="179"/>
      <c r="AI220" s="47" t="str">
        <f t="shared" si="1130"/>
        <v/>
      </c>
      <c r="AJ220" s="47" t="str">
        <f t="shared" ref="AJ220:AT220" si="1156">IFERROR(IF(AJ$3="A",CN220,IF(AJ$3="F",DB220,IF(AJ$3="B",BL220,0))),"")</f>
        <v/>
      </c>
      <c r="AK220" s="47" t="str">
        <f t="shared" si="1156"/>
        <v/>
      </c>
      <c r="AL220" s="47" t="str">
        <f t="shared" si="1156"/>
        <v/>
      </c>
      <c r="AM220" s="47" t="str">
        <f t="shared" si="1156"/>
        <v/>
      </c>
      <c r="AN220" s="47" t="str">
        <f t="shared" si="1156"/>
        <v/>
      </c>
      <c r="AO220" s="47" t="str">
        <f t="shared" si="1156"/>
        <v/>
      </c>
      <c r="AP220" s="47" t="str">
        <f t="shared" si="1156"/>
        <v/>
      </c>
      <c r="AQ220" s="47" t="str">
        <f t="shared" si="1156"/>
        <v/>
      </c>
      <c r="AR220" s="47">
        <f t="shared" si="1156"/>
        <v>471</v>
      </c>
      <c r="AS220" s="47">
        <f t="shared" si="1156"/>
        <v>0</v>
      </c>
      <c r="AT220" s="47">
        <f t="shared" si="1156"/>
        <v>471</v>
      </c>
      <c r="AU220" s="180">
        <f t="shared" si="1045"/>
        <v>942</v>
      </c>
      <c r="AV220" s="127"/>
      <c r="AW220" s="47" t="str">
        <f t="shared" ref="AW220:BH220" si="1157">IFERROR(IF(AW$3="A",CM220,IF(AW$3="B",BK220)),0)</f>
        <v/>
      </c>
      <c r="AX220" s="47" t="str">
        <f t="shared" si="1157"/>
        <v/>
      </c>
      <c r="AY220" s="47" t="str">
        <f t="shared" si="1157"/>
        <v/>
      </c>
      <c r="AZ220" s="47" t="str">
        <f t="shared" si="1157"/>
        <v/>
      </c>
      <c r="BA220" s="47" t="str">
        <f t="shared" si="1157"/>
        <v/>
      </c>
      <c r="BB220" s="47" t="str">
        <f t="shared" si="1157"/>
        <v/>
      </c>
      <c r="BC220" s="47">
        <f t="shared" si="1157"/>
        <v>471</v>
      </c>
      <c r="BD220" s="47">
        <f t="shared" si="1157"/>
        <v>0</v>
      </c>
      <c r="BE220" s="47">
        <f t="shared" si="1157"/>
        <v>0</v>
      </c>
      <c r="BF220" s="47">
        <f t="shared" si="1157"/>
        <v>471</v>
      </c>
      <c r="BG220" s="47">
        <f t="shared" si="1157"/>
        <v>0</v>
      </c>
      <c r="BH220" s="47">
        <f t="shared" si="1157"/>
        <v>471</v>
      </c>
      <c r="BI220" s="180">
        <f t="shared" si="1047"/>
        <v>1413</v>
      </c>
      <c r="BJ220" s="179"/>
      <c r="BK220" s="128">
        <v>471.0</v>
      </c>
      <c r="BL220" s="128">
        <v>0.0</v>
      </c>
      <c r="BM220" s="128">
        <v>0.0</v>
      </c>
      <c r="BN220" s="128">
        <v>471.0</v>
      </c>
      <c r="BO220" s="128">
        <v>0.0</v>
      </c>
      <c r="BP220" s="128">
        <v>0.0</v>
      </c>
      <c r="BQ220" s="128">
        <v>471.0</v>
      </c>
      <c r="BR220" s="128">
        <v>0.0</v>
      </c>
      <c r="BS220" s="128">
        <v>0.0</v>
      </c>
      <c r="BT220" s="128">
        <v>471.0</v>
      </c>
      <c r="BU220" s="128">
        <v>0.0</v>
      </c>
      <c r="BV220" s="128">
        <v>471.0</v>
      </c>
      <c r="BW220" s="181">
        <v>2355.0</v>
      </c>
      <c r="BX220" s="182"/>
      <c r="BY220" s="47"/>
      <c r="BZ220" s="47"/>
      <c r="CA220" s="47"/>
      <c r="CB220" s="47"/>
      <c r="CC220" s="47"/>
      <c r="CD220" s="47"/>
      <c r="CE220" s="47"/>
      <c r="CF220" s="47"/>
      <c r="CG220" s="47"/>
      <c r="CH220" s="47"/>
      <c r="CI220" s="47"/>
      <c r="CJ220" s="47"/>
      <c r="CK220" s="180"/>
      <c r="CL220" s="178"/>
      <c r="CM220" s="47"/>
      <c r="CN220" s="47"/>
      <c r="CO220" s="47"/>
      <c r="CP220" s="47"/>
      <c r="CQ220" s="47"/>
      <c r="CR220" s="47"/>
      <c r="CS220" s="47"/>
      <c r="CT220" s="47"/>
      <c r="CU220" s="47"/>
      <c r="CV220" s="47"/>
      <c r="CW220" s="47"/>
      <c r="CX220" s="47"/>
      <c r="CY220" s="180"/>
      <c r="CZ220" s="183"/>
      <c r="DA220" s="178">
        <f t="shared" si="1133"/>
        <v>471</v>
      </c>
      <c r="DB220" s="178"/>
      <c r="DC220" s="178"/>
      <c r="DD220" s="178"/>
      <c r="DE220" s="47"/>
      <c r="DF220" s="47"/>
      <c r="DG220" s="47"/>
      <c r="DH220" s="47"/>
      <c r="DI220" s="47"/>
      <c r="DJ220" s="47"/>
      <c r="DK220" s="47"/>
      <c r="DL220" s="47"/>
      <c r="DM220" s="180">
        <f t="shared" si="1049"/>
        <v>471</v>
      </c>
      <c r="DN220" s="182"/>
      <c r="DO220" s="243"/>
      <c r="DP220" s="243"/>
      <c r="DQ220" s="131"/>
    </row>
    <row r="221" outlineLevel="1">
      <c r="A221" s="15"/>
      <c r="B221" s="238" t="s">
        <v>209</v>
      </c>
      <c r="C221" s="15"/>
      <c r="D221" s="225">
        <f t="shared" si="1119"/>
        <v>0</v>
      </c>
      <c r="E221" s="47">
        <f t="shared" si="1120"/>
        <v>0</v>
      </c>
      <c r="F221" s="47">
        <f t="shared" si="1121"/>
        <v>640</v>
      </c>
      <c r="G221" s="47">
        <f t="shared" si="1122"/>
        <v>0</v>
      </c>
      <c r="H221" s="48"/>
      <c r="I221" s="66">
        <f t="shared" si="1022"/>
        <v>0</v>
      </c>
      <c r="J221" s="67">
        <f t="shared" si="1023"/>
        <v>0</v>
      </c>
      <c r="K221" s="66">
        <f t="shared" si="1024"/>
        <v>640</v>
      </c>
      <c r="L221" s="67">
        <f t="shared" si="1025"/>
        <v>1</v>
      </c>
      <c r="M221" s="66">
        <f t="shared" si="1026"/>
        <v>0</v>
      </c>
      <c r="N221" s="67">
        <f t="shared" si="1027"/>
        <v>0</v>
      </c>
      <c r="O221" s="48"/>
      <c r="P221" s="178">
        <f t="shared" si="1123"/>
        <v>0</v>
      </c>
      <c r="Q221" s="178">
        <f t="shared" si="1124"/>
        <v>3840</v>
      </c>
      <c r="R221" s="178">
        <f t="shared" si="1125"/>
        <v>0</v>
      </c>
      <c r="S221" s="48"/>
      <c r="T221" s="66">
        <f t="shared" si="1031"/>
        <v>3840</v>
      </c>
      <c r="U221" s="67">
        <f t="shared" si="1032"/>
        <v>1</v>
      </c>
      <c r="V221" s="66">
        <f t="shared" si="1033"/>
        <v>0</v>
      </c>
      <c r="W221" s="67">
        <f t="shared" si="1034"/>
        <v>0</v>
      </c>
      <c r="X221" s="48"/>
      <c r="Y221" s="47">
        <f t="shared" si="1126"/>
        <v>1920</v>
      </c>
      <c r="Z221" s="47">
        <f t="shared" si="1127"/>
        <v>3840</v>
      </c>
      <c r="AA221" s="178">
        <f t="shared" si="1128"/>
        <v>7680</v>
      </c>
      <c r="AB221" s="95" t="str">
        <f t="shared" si="1129"/>
        <v/>
      </c>
      <c r="AC221" s="17"/>
      <c r="AD221" s="66">
        <f t="shared" si="1039"/>
        <v>5760</v>
      </c>
      <c r="AE221" s="67">
        <f t="shared" si="1040"/>
        <v>0.75</v>
      </c>
      <c r="AF221" s="66">
        <f t="shared" si="1041"/>
        <v>-1920</v>
      </c>
      <c r="AG221" s="67">
        <f t="shared" si="1042"/>
        <v>0</v>
      </c>
      <c r="AH221" s="117"/>
      <c r="AI221" s="47" t="str">
        <f t="shared" si="1130"/>
        <v/>
      </c>
      <c r="AJ221" s="47" t="str">
        <f t="shared" ref="AJ221:AT221" si="1158">IFERROR(IF(AJ$3="A",CN221,IF(AJ$3="F",DB221,IF(AJ$3="B",BL221,0))),"")</f>
        <v/>
      </c>
      <c r="AK221" s="47" t="str">
        <f t="shared" si="1158"/>
        <v/>
      </c>
      <c r="AL221" s="47" t="str">
        <f t="shared" si="1158"/>
        <v/>
      </c>
      <c r="AM221" s="47" t="str">
        <f t="shared" si="1158"/>
        <v/>
      </c>
      <c r="AN221" s="47" t="str">
        <f t="shared" si="1158"/>
        <v/>
      </c>
      <c r="AO221" s="47" t="str">
        <f t="shared" si="1158"/>
        <v/>
      </c>
      <c r="AP221" s="47" t="str">
        <f t="shared" si="1158"/>
        <v/>
      </c>
      <c r="AQ221" s="47" t="str">
        <f t="shared" si="1158"/>
        <v/>
      </c>
      <c r="AR221" s="47">
        <f t="shared" si="1158"/>
        <v>640</v>
      </c>
      <c r="AS221" s="47">
        <f t="shared" si="1158"/>
        <v>640</v>
      </c>
      <c r="AT221" s="47">
        <f t="shared" si="1158"/>
        <v>640</v>
      </c>
      <c r="AU221" s="65">
        <f t="shared" si="1045"/>
        <v>1920</v>
      </c>
      <c r="AV221" s="11"/>
      <c r="AW221" s="47" t="str">
        <f t="shared" ref="AW221:BH221" si="1159">IFERROR(IF(AW$3="A",CM221,IF(AW$3="B",BK221)),0)</f>
        <v/>
      </c>
      <c r="AX221" s="47" t="str">
        <f t="shared" si="1159"/>
        <v/>
      </c>
      <c r="AY221" s="47" t="str">
        <f t="shared" si="1159"/>
        <v/>
      </c>
      <c r="AZ221" s="47" t="str">
        <f t="shared" si="1159"/>
        <v/>
      </c>
      <c r="BA221" s="47" t="str">
        <f t="shared" si="1159"/>
        <v/>
      </c>
      <c r="BB221" s="47" t="str">
        <f t="shared" si="1159"/>
        <v/>
      </c>
      <c r="BC221" s="47">
        <f t="shared" si="1159"/>
        <v>640</v>
      </c>
      <c r="BD221" s="47">
        <f t="shared" si="1159"/>
        <v>640</v>
      </c>
      <c r="BE221" s="47">
        <f t="shared" si="1159"/>
        <v>640</v>
      </c>
      <c r="BF221" s="47">
        <f t="shared" si="1159"/>
        <v>640</v>
      </c>
      <c r="BG221" s="47">
        <f t="shared" si="1159"/>
        <v>640</v>
      </c>
      <c r="BH221" s="47">
        <f t="shared" si="1159"/>
        <v>640</v>
      </c>
      <c r="BI221" s="65">
        <f t="shared" si="1047"/>
        <v>3840</v>
      </c>
      <c r="BJ221" s="117"/>
      <c r="BK221" s="128">
        <v>640.0</v>
      </c>
      <c r="BL221" s="128">
        <v>640.0</v>
      </c>
      <c r="BM221" s="128">
        <v>640.0</v>
      </c>
      <c r="BN221" s="128">
        <v>640.0</v>
      </c>
      <c r="BO221" s="128">
        <v>640.0</v>
      </c>
      <c r="BP221" s="128">
        <v>640.0</v>
      </c>
      <c r="BQ221" s="128">
        <v>640.0</v>
      </c>
      <c r="BR221" s="128">
        <v>640.0</v>
      </c>
      <c r="BS221" s="128">
        <v>640.0</v>
      </c>
      <c r="BT221" s="128">
        <v>640.0</v>
      </c>
      <c r="BU221" s="128">
        <v>640.0</v>
      </c>
      <c r="BV221" s="128">
        <v>640.0</v>
      </c>
      <c r="BW221" s="129">
        <v>7680.0</v>
      </c>
      <c r="BX221" s="1"/>
      <c r="BY221" s="47"/>
      <c r="BZ221" s="47"/>
      <c r="CA221" s="47"/>
      <c r="CB221" s="47"/>
      <c r="CC221" s="47"/>
      <c r="CD221" s="47"/>
      <c r="CE221" s="47"/>
      <c r="CF221" s="47"/>
      <c r="CG221" s="47"/>
      <c r="CH221" s="47"/>
      <c r="CI221" s="47"/>
      <c r="CJ221" s="47"/>
      <c r="CK221" s="65"/>
      <c r="CL221" s="47"/>
      <c r="CM221" s="47"/>
      <c r="CN221" s="47"/>
      <c r="CO221" s="47"/>
      <c r="CP221" s="47"/>
      <c r="CQ221" s="47"/>
      <c r="CR221" s="47"/>
      <c r="CS221" s="47"/>
      <c r="CT221" s="47"/>
      <c r="CU221" s="47"/>
      <c r="CV221" s="47"/>
      <c r="CW221" s="47"/>
      <c r="CX221" s="47"/>
      <c r="CY221" s="65"/>
      <c r="CZ221" s="11"/>
      <c r="DA221" s="47">
        <f t="shared" si="1133"/>
        <v>640</v>
      </c>
      <c r="DB221" s="47"/>
      <c r="DC221" s="47"/>
      <c r="DD221" s="47"/>
      <c r="DE221" s="47"/>
      <c r="DF221" s="47"/>
      <c r="DG221" s="47"/>
      <c r="DH221" s="47"/>
      <c r="DI221" s="47"/>
      <c r="DJ221" s="47"/>
      <c r="DK221" s="47"/>
      <c r="DL221" s="47"/>
      <c r="DM221" s="65">
        <f t="shared" si="1049"/>
        <v>640</v>
      </c>
      <c r="DN221" s="1"/>
      <c r="DO221" s="130"/>
      <c r="DP221" s="130"/>
      <c r="DQ221" s="131"/>
    </row>
    <row r="222" outlineLevel="1">
      <c r="A222" s="15"/>
      <c r="B222" s="1" t="s">
        <v>210</v>
      </c>
      <c r="C222" s="15"/>
      <c r="D222" s="47">
        <f t="shared" si="1119"/>
        <v>0</v>
      </c>
      <c r="E222" s="47">
        <f t="shared" si="1120"/>
        <v>0</v>
      </c>
      <c r="F222" s="47">
        <f t="shared" si="1121"/>
        <v>0</v>
      </c>
      <c r="G222" s="47">
        <f t="shared" si="1122"/>
        <v>0</v>
      </c>
      <c r="H222" s="48"/>
      <c r="I222" s="66">
        <f t="shared" si="1022"/>
        <v>0</v>
      </c>
      <c r="J222" s="67">
        <f t="shared" si="1023"/>
        <v>0</v>
      </c>
      <c r="K222" s="66">
        <f t="shared" si="1024"/>
        <v>0</v>
      </c>
      <c r="L222" s="67">
        <f t="shared" si="1025"/>
        <v>0</v>
      </c>
      <c r="M222" s="66">
        <f t="shared" si="1026"/>
        <v>0</v>
      </c>
      <c r="N222" s="67">
        <f t="shared" si="1027"/>
        <v>0</v>
      </c>
      <c r="O222" s="48"/>
      <c r="P222" s="178">
        <f t="shared" si="1123"/>
        <v>0</v>
      </c>
      <c r="Q222" s="178">
        <f t="shared" si="1124"/>
        <v>0</v>
      </c>
      <c r="R222" s="178">
        <f t="shared" si="1125"/>
        <v>0</v>
      </c>
      <c r="S222" s="48"/>
      <c r="T222" s="66">
        <f t="shared" si="1031"/>
        <v>0</v>
      </c>
      <c r="U222" s="67">
        <f t="shared" si="1032"/>
        <v>0</v>
      </c>
      <c r="V222" s="66">
        <f t="shared" si="1033"/>
        <v>0</v>
      </c>
      <c r="W222" s="67">
        <f t="shared" si="1034"/>
        <v>0</v>
      </c>
      <c r="X222" s="48"/>
      <c r="Y222" s="47">
        <f t="shared" si="1126"/>
        <v>0</v>
      </c>
      <c r="Z222" s="47">
        <f t="shared" si="1127"/>
        <v>0</v>
      </c>
      <c r="AA222" s="178">
        <f t="shared" si="1128"/>
        <v>0</v>
      </c>
      <c r="AB222" s="95" t="str">
        <f t="shared" si="1129"/>
        <v/>
      </c>
      <c r="AC222" s="17"/>
      <c r="AD222" s="66">
        <f t="shared" si="1039"/>
        <v>0</v>
      </c>
      <c r="AE222" s="67">
        <f t="shared" si="1040"/>
        <v>0</v>
      </c>
      <c r="AF222" s="66">
        <f t="shared" si="1041"/>
        <v>0</v>
      </c>
      <c r="AG222" s="67">
        <f t="shared" si="1042"/>
        <v>0</v>
      </c>
      <c r="AH222" s="117"/>
      <c r="AI222" s="47" t="str">
        <f t="shared" si="1130"/>
        <v/>
      </c>
      <c r="AJ222" s="47" t="str">
        <f t="shared" ref="AJ222:AT222" si="1160">IFERROR(IF(AJ$3="A",CN222,IF(AJ$3="F",DB222,IF(AJ$3="B",BL222,0))),"")</f>
        <v/>
      </c>
      <c r="AK222" s="47" t="str">
        <f t="shared" si="1160"/>
        <v/>
      </c>
      <c r="AL222" s="47" t="str">
        <f t="shared" si="1160"/>
        <v/>
      </c>
      <c r="AM222" s="47" t="str">
        <f t="shared" si="1160"/>
        <v/>
      </c>
      <c r="AN222" s="47" t="str">
        <f t="shared" si="1160"/>
        <v/>
      </c>
      <c r="AO222" s="47" t="str">
        <f t="shared" si="1160"/>
        <v/>
      </c>
      <c r="AP222" s="47" t="str">
        <f t="shared" si="1160"/>
        <v/>
      </c>
      <c r="AQ222" s="47" t="str">
        <f t="shared" si="1160"/>
        <v/>
      </c>
      <c r="AR222" s="47">
        <f t="shared" si="1160"/>
        <v>0</v>
      </c>
      <c r="AS222" s="47">
        <f t="shared" si="1160"/>
        <v>0</v>
      </c>
      <c r="AT222" s="47">
        <f t="shared" si="1160"/>
        <v>0</v>
      </c>
      <c r="AU222" s="65">
        <f t="shared" si="1045"/>
        <v>0</v>
      </c>
      <c r="AV222" s="11"/>
      <c r="AW222" s="47" t="str">
        <f t="shared" ref="AW222:BH222" si="1161">IFERROR(IF(AW$3="A",CM222,IF(AW$3="B",BK222)),0)</f>
        <v/>
      </c>
      <c r="AX222" s="47" t="str">
        <f t="shared" si="1161"/>
        <v/>
      </c>
      <c r="AY222" s="47" t="str">
        <f t="shared" si="1161"/>
        <v/>
      </c>
      <c r="AZ222" s="47" t="str">
        <f t="shared" si="1161"/>
        <v/>
      </c>
      <c r="BA222" s="47" t="str">
        <f t="shared" si="1161"/>
        <v/>
      </c>
      <c r="BB222" s="47" t="str">
        <f t="shared" si="1161"/>
        <v/>
      </c>
      <c r="BC222" s="47">
        <f t="shared" si="1161"/>
        <v>0</v>
      </c>
      <c r="BD222" s="47">
        <f t="shared" si="1161"/>
        <v>0</v>
      </c>
      <c r="BE222" s="47">
        <f t="shared" si="1161"/>
        <v>0</v>
      </c>
      <c r="BF222" s="47">
        <f t="shared" si="1161"/>
        <v>0</v>
      </c>
      <c r="BG222" s="47">
        <f t="shared" si="1161"/>
        <v>0</v>
      </c>
      <c r="BH222" s="47">
        <f t="shared" si="1161"/>
        <v>0</v>
      </c>
      <c r="BI222" s="65">
        <f t="shared" si="1047"/>
        <v>0</v>
      </c>
      <c r="BJ222" s="117"/>
      <c r="BK222" s="128">
        <v>0.0</v>
      </c>
      <c r="BL222" s="128">
        <v>0.0</v>
      </c>
      <c r="BM222" s="128">
        <v>0.0</v>
      </c>
      <c r="BN222" s="128">
        <v>0.0</v>
      </c>
      <c r="BO222" s="128">
        <v>0.0</v>
      </c>
      <c r="BP222" s="128">
        <v>0.0</v>
      </c>
      <c r="BQ222" s="128">
        <v>0.0</v>
      </c>
      <c r="BR222" s="128">
        <v>0.0</v>
      </c>
      <c r="BS222" s="128">
        <v>0.0</v>
      </c>
      <c r="BT222" s="128">
        <v>0.0</v>
      </c>
      <c r="BU222" s="128">
        <v>0.0</v>
      </c>
      <c r="BV222" s="128">
        <v>0.0</v>
      </c>
      <c r="BW222" s="129">
        <v>0.0</v>
      </c>
      <c r="BX222" s="1"/>
      <c r="BY222" s="47"/>
      <c r="BZ222" s="47"/>
      <c r="CA222" s="47"/>
      <c r="CB222" s="47"/>
      <c r="CC222" s="47"/>
      <c r="CD222" s="47"/>
      <c r="CE222" s="47"/>
      <c r="CF222" s="47"/>
      <c r="CG222" s="47"/>
      <c r="CH222" s="47"/>
      <c r="CI222" s="47"/>
      <c r="CJ222" s="47"/>
      <c r="CK222" s="65"/>
      <c r="CL222" s="47"/>
      <c r="CM222" s="47"/>
      <c r="CN222" s="47"/>
      <c r="CO222" s="47"/>
      <c r="CP222" s="47"/>
      <c r="CQ222" s="47"/>
      <c r="CR222" s="47"/>
      <c r="CS222" s="47"/>
      <c r="CT222" s="47"/>
      <c r="CU222" s="47"/>
      <c r="CV222" s="47"/>
      <c r="CW222" s="47"/>
      <c r="CX222" s="47"/>
      <c r="CY222" s="65"/>
      <c r="CZ222" s="11"/>
      <c r="DA222" s="47">
        <f t="shared" si="1133"/>
        <v>0</v>
      </c>
      <c r="DB222" s="47"/>
      <c r="DC222" s="47"/>
      <c r="DD222" s="47"/>
      <c r="DE222" s="47"/>
      <c r="DF222" s="47"/>
      <c r="DG222" s="47"/>
      <c r="DH222" s="47"/>
      <c r="DI222" s="47"/>
      <c r="DJ222" s="47"/>
      <c r="DK222" s="47"/>
      <c r="DL222" s="47"/>
      <c r="DM222" s="65">
        <f t="shared" si="1049"/>
        <v>0</v>
      </c>
      <c r="DN222" s="1"/>
      <c r="DO222" s="130"/>
      <c r="DP222" s="130"/>
      <c r="DQ222" s="131"/>
    </row>
    <row r="223">
      <c r="A223" s="15"/>
      <c r="B223" s="184" t="s">
        <v>139</v>
      </c>
      <c r="C223" s="185"/>
      <c r="D223" s="157">
        <f t="shared" ref="D223:G223" si="1162">SUM(D189:D198,D201,D204:D206,D221:D222)</f>
        <v>0</v>
      </c>
      <c r="E223" s="157">
        <f t="shared" si="1162"/>
        <v>0</v>
      </c>
      <c r="F223" s="157">
        <f t="shared" si="1162"/>
        <v>66388.907</v>
      </c>
      <c r="G223" s="157">
        <f t="shared" si="1162"/>
        <v>0</v>
      </c>
      <c r="H223" s="125"/>
      <c r="I223" s="75">
        <f t="shared" si="1022"/>
        <v>0</v>
      </c>
      <c r="J223" s="60">
        <f t="shared" si="1023"/>
        <v>0</v>
      </c>
      <c r="K223" s="75">
        <f t="shared" si="1024"/>
        <v>66388.907</v>
      </c>
      <c r="L223" s="60">
        <f t="shared" si="1025"/>
        <v>1</v>
      </c>
      <c r="M223" s="75">
        <f t="shared" si="1026"/>
        <v>0</v>
      </c>
      <c r="N223" s="60">
        <f t="shared" si="1027"/>
        <v>0</v>
      </c>
      <c r="O223" s="125"/>
      <c r="P223" s="157">
        <f t="shared" ref="P223:R223" si="1163">SUM(P189:P198,P201,P204:P206,P221:P222)</f>
        <v>0</v>
      </c>
      <c r="Q223" s="157">
        <f t="shared" si="1163"/>
        <v>317346.391</v>
      </c>
      <c r="R223" s="157">
        <f t="shared" si="1163"/>
        <v>0</v>
      </c>
      <c r="S223" s="125"/>
      <c r="T223" s="75">
        <f t="shared" si="1031"/>
        <v>317346.391</v>
      </c>
      <c r="U223" s="60">
        <f t="shared" si="1032"/>
        <v>1</v>
      </c>
      <c r="V223" s="75">
        <f t="shared" si="1033"/>
        <v>0</v>
      </c>
      <c r="W223" s="60">
        <f t="shared" si="1034"/>
        <v>0</v>
      </c>
      <c r="X223" s="125"/>
      <c r="Y223" s="157">
        <f t="shared" ref="Y223:AB223" si="1164">SUM(Y189:Y198,Y201,Y204:Y206,Y221:Y222)</f>
        <v>163879.674</v>
      </c>
      <c r="Z223" s="157">
        <f t="shared" si="1164"/>
        <v>424798.595</v>
      </c>
      <c r="AA223" s="157">
        <f t="shared" si="1164"/>
        <v>742144.986</v>
      </c>
      <c r="AB223" s="157">
        <f t="shared" si="1164"/>
        <v>0</v>
      </c>
      <c r="AC223" s="125"/>
      <c r="AD223" s="75">
        <f t="shared" si="1039"/>
        <v>578265.312</v>
      </c>
      <c r="AE223" s="60">
        <f t="shared" si="1040"/>
        <v>0.7791810534</v>
      </c>
      <c r="AF223" s="75">
        <f t="shared" si="1041"/>
        <v>-163879.674</v>
      </c>
      <c r="AG223" s="60">
        <f t="shared" si="1042"/>
        <v>0</v>
      </c>
      <c r="AH223" s="134"/>
      <c r="AI223" s="157">
        <f t="shared" ref="AI223:AU223" si="1165">SUM(AI189:AI198,AI201,AI204:AI206,AI221:AI222)</f>
        <v>0</v>
      </c>
      <c r="AJ223" s="157">
        <f t="shared" si="1165"/>
        <v>0</v>
      </c>
      <c r="AK223" s="157">
        <f t="shared" si="1165"/>
        <v>0</v>
      </c>
      <c r="AL223" s="157">
        <f t="shared" si="1165"/>
        <v>0</v>
      </c>
      <c r="AM223" s="157">
        <f t="shared" si="1165"/>
        <v>0</v>
      </c>
      <c r="AN223" s="157">
        <f t="shared" si="1165"/>
        <v>0</v>
      </c>
      <c r="AO223" s="157">
        <f t="shared" si="1165"/>
        <v>0</v>
      </c>
      <c r="AP223" s="157">
        <f t="shared" si="1165"/>
        <v>0</v>
      </c>
      <c r="AQ223" s="157">
        <f t="shared" si="1165"/>
        <v>0</v>
      </c>
      <c r="AR223" s="157">
        <f t="shared" si="1165"/>
        <v>72651.71</v>
      </c>
      <c r="AS223" s="157">
        <f t="shared" si="1165"/>
        <v>43613.223</v>
      </c>
      <c r="AT223" s="157">
        <f t="shared" si="1165"/>
        <v>47614.741</v>
      </c>
      <c r="AU223" s="157">
        <f t="shared" si="1165"/>
        <v>163879.674</v>
      </c>
      <c r="AV223" s="127"/>
      <c r="AW223" s="157">
        <f t="shared" ref="AW223:BI223" si="1166">SUM(AW189:AW198,AW201,AW204:AW206,AW221:AW222)</f>
        <v>0</v>
      </c>
      <c r="AX223" s="157">
        <f t="shared" si="1166"/>
        <v>0</v>
      </c>
      <c r="AY223" s="157">
        <f t="shared" si="1166"/>
        <v>0</v>
      </c>
      <c r="AZ223" s="157">
        <f t="shared" si="1166"/>
        <v>0</v>
      </c>
      <c r="BA223" s="157">
        <f t="shared" si="1166"/>
        <v>0</v>
      </c>
      <c r="BB223" s="157">
        <f t="shared" si="1166"/>
        <v>0</v>
      </c>
      <c r="BC223" s="157">
        <f t="shared" si="1166"/>
        <v>94525.443</v>
      </c>
      <c r="BD223" s="157">
        <f t="shared" si="1166"/>
        <v>90342.172</v>
      </c>
      <c r="BE223" s="157">
        <f t="shared" si="1166"/>
        <v>76051.306</v>
      </c>
      <c r="BF223" s="157">
        <f t="shared" si="1166"/>
        <v>72651.71</v>
      </c>
      <c r="BG223" s="157">
        <f t="shared" si="1166"/>
        <v>43613.223</v>
      </c>
      <c r="BH223" s="157">
        <f t="shared" si="1166"/>
        <v>47614.741</v>
      </c>
      <c r="BI223" s="157">
        <f t="shared" si="1166"/>
        <v>424798.595</v>
      </c>
      <c r="BJ223" s="134"/>
      <c r="BK223" s="158">
        <v>61586.164</v>
      </c>
      <c r="BL223" s="158">
        <v>55649.308</v>
      </c>
      <c r="BM223" s="158">
        <v>44798.348</v>
      </c>
      <c r="BN223" s="158">
        <v>41810.774</v>
      </c>
      <c r="BO223" s="158">
        <v>47112.89</v>
      </c>
      <c r="BP223" s="158">
        <v>66388.907</v>
      </c>
      <c r="BQ223" s="158">
        <v>94525.443</v>
      </c>
      <c r="BR223" s="158">
        <v>90342.172</v>
      </c>
      <c r="BS223" s="158">
        <v>76051.306</v>
      </c>
      <c r="BT223" s="158">
        <v>72651.71</v>
      </c>
      <c r="BU223" s="158">
        <v>43613.223</v>
      </c>
      <c r="BV223" s="158">
        <v>47614.741</v>
      </c>
      <c r="BW223" s="158">
        <v>742144.986</v>
      </c>
      <c r="BX223" s="1"/>
      <c r="BY223" s="157"/>
      <c r="BZ223" s="157"/>
      <c r="CA223" s="157"/>
      <c r="CB223" s="157"/>
      <c r="CC223" s="157"/>
      <c r="CD223" s="157"/>
      <c r="CE223" s="157"/>
      <c r="CF223" s="157"/>
      <c r="CG223" s="157"/>
      <c r="CH223" s="157"/>
      <c r="CI223" s="157"/>
      <c r="CJ223" s="157"/>
      <c r="CK223" s="157"/>
      <c r="CL223" s="159"/>
      <c r="CM223" s="157"/>
      <c r="CN223" s="157"/>
      <c r="CO223" s="157"/>
      <c r="CP223" s="157"/>
      <c r="CQ223" s="157"/>
      <c r="CR223" s="157"/>
      <c r="CS223" s="157"/>
      <c r="CT223" s="157"/>
      <c r="CU223" s="157"/>
      <c r="CV223" s="157"/>
      <c r="CW223" s="157"/>
      <c r="CX223" s="157"/>
      <c r="CY223" s="157"/>
      <c r="CZ223" s="11"/>
      <c r="DA223" s="157">
        <f>SUM(DA189:DA198,DA201,DA204:DA206,DA221:DA222)</f>
        <v>61586.164</v>
      </c>
      <c r="DB223" s="157"/>
      <c r="DC223" s="157"/>
      <c r="DD223" s="157"/>
      <c r="DE223" s="157"/>
      <c r="DF223" s="157"/>
      <c r="DG223" s="157"/>
      <c r="DH223" s="157"/>
      <c r="DI223" s="157"/>
      <c r="DJ223" s="157"/>
      <c r="DK223" s="157"/>
      <c r="DL223" s="157"/>
      <c r="DM223" s="157">
        <f>SUM(DM189:DM198,DM201,DM204:DM206,DM221:DM222)</f>
        <v>61586.164</v>
      </c>
      <c r="DN223" s="1"/>
      <c r="DO223" s="160"/>
      <c r="DP223" s="160"/>
      <c r="DQ223" s="131"/>
    </row>
    <row r="224">
      <c r="A224" s="15"/>
      <c r="B224" s="15"/>
      <c r="C224" s="15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1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11"/>
      <c r="AW224" s="47"/>
      <c r="AX224" s="47"/>
      <c r="AY224" s="47"/>
      <c r="AZ224" s="47"/>
      <c r="BA224" s="47"/>
      <c r="BB224" s="47"/>
      <c r="BC224" s="47"/>
      <c r="BD224" s="47"/>
      <c r="BE224" s="47"/>
      <c r="BF224" s="47"/>
      <c r="BG224" s="47"/>
      <c r="BH224" s="47"/>
      <c r="BI224" s="47"/>
      <c r="BJ224" s="117"/>
      <c r="BK224" s="47"/>
      <c r="BL224" s="47"/>
      <c r="BM224" s="47"/>
      <c r="BN224" s="47"/>
      <c r="BO224" s="47"/>
      <c r="BP224" s="47"/>
      <c r="BQ224" s="47"/>
      <c r="BR224" s="47"/>
      <c r="BS224" s="47"/>
      <c r="BT224" s="47"/>
      <c r="BU224" s="47"/>
      <c r="BV224" s="47"/>
      <c r="BW224" s="47"/>
      <c r="BX224" s="1"/>
      <c r="BY224" s="47"/>
      <c r="BZ224" s="47"/>
      <c r="CA224" s="47"/>
      <c r="CB224" s="47"/>
      <c r="CC224" s="47"/>
      <c r="CD224" s="47"/>
      <c r="CE224" s="47"/>
      <c r="CF224" s="47"/>
      <c r="CG224" s="47"/>
      <c r="CH224" s="47"/>
      <c r="CI224" s="47"/>
      <c r="CJ224" s="47"/>
      <c r="CK224" s="47"/>
      <c r="CL224" s="47"/>
      <c r="CM224" s="47"/>
      <c r="CN224" s="47"/>
      <c r="CO224" s="47"/>
      <c r="CP224" s="47"/>
      <c r="CQ224" s="47"/>
      <c r="CR224" s="47"/>
      <c r="CS224" s="47"/>
      <c r="CT224" s="47"/>
      <c r="CU224" s="47"/>
      <c r="CV224" s="47"/>
      <c r="CW224" s="47"/>
      <c r="CX224" s="47"/>
      <c r="CY224" s="47"/>
      <c r="CZ224" s="11"/>
      <c r="DA224" s="95"/>
      <c r="DB224" s="95"/>
      <c r="DC224" s="95"/>
      <c r="DD224" s="95"/>
      <c r="DE224" s="95"/>
      <c r="DF224" s="95"/>
      <c r="DG224" s="95"/>
      <c r="DH224" s="95"/>
      <c r="DI224" s="95"/>
      <c r="DJ224" s="95"/>
      <c r="DK224" s="95"/>
      <c r="DL224" s="95"/>
      <c r="DM224" s="95"/>
      <c r="DN224" s="1"/>
      <c r="DO224" s="163"/>
      <c r="DP224" s="163"/>
      <c r="DQ224" s="131"/>
    </row>
    <row r="225">
      <c r="A225" s="105">
        <v>7.0</v>
      </c>
      <c r="B225" s="152" t="s">
        <v>211</v>
      </c>
      <c r="C225" s="124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34"/>
      <c r="AI225" s="47"/>
      <c r="AJ225" s="47"/>
      <c r="AK225" s="47"/>
      <c r="AL225" s="47"/>
      <c r="AM225" s="47"/>
      <c r="AN225" s="47"/>
      <c r="AO225" s="47"/>
      <c r="AP225" s="47"/>
      <c r="AQ225" s="47"/>
      <c r="AR225" s="47"/>
      <c r="AS225" s="47"/>
      <c r="AT225" s="47"/>
      <c r="AU225" s="47"/>
      <c r="AV225" s="127"/>
      <c r="AW225" s="47"/>
      <c r="AX225" s="47"/>
      <c r="AY225" s="47"/>
      <c r="AZ225" s="47"/>
      <c r="BA225" s="47"/>
      <c r="BB225" s="47"/>
      <c r="BC225" s="47"/>
      <c r="BD225" s="47"/>
      <c r="BE225" s="47"/>
      <c r="BF225" s="47"/>
      <c r="BG225" s="47"/>
      <c r="BH225" s="47"/>
      <c r="BI225" s="47"/>
      <c r="BJ225" s="134"/>
      <c r="BK225" s="47"/>
      <c r="BL225" s="47"/>
      <c r="BM225" s="47"/>
      <c r="BN225" s="47"/>
      <c r="BO225" s="47"/>
      <c r="BP225" s="47"/>
      <c r="BQ225" s="47"/>
      <c r="BR225" s="47"/>
      <c r="BS225" s="47"/>
      <c r="BT225" s="47"/>
      <c r="BU225" s="47"/>
      <c r="BV225" s="47"/>
      <c r="BW225" s="47"/>
      <c r="BX225" s="1"/>
      <c r="BY225" s="47"/>
      <c r="BZ225" s="47"/>
      <c r="CA225" s="47"/>
      <c r="CB225" s="47"/>
      <c r="CC225" s="47"/>
      <c r="CD225" s="47"/>
      <c r="CE225" s="47"/>
      <c r="CF225" s="47"/>
      <c r="CG225" s="47"/>
      <c r="CH225" s="47"/>
      <c r="CI225" s="47"/>
      <c r="CJ225" s="47"/>
      <c r="CK225" s="47"/>
      <c r="CL225" s="47"/>
      <c r="CM225" s="47"/>
      <c r="CN225" s="47"/>
      <c r="CO225" s="47"/>
      <c r="CP225" s="47"/>
      <c r="CQ225" s="47"/>
      <c r="CR225" s="47"/>
      <c r="CS225" s="47"/>
      <c r="CT225" s="47"/>
      <c r="CU225" s="47"/>
      <c r="CV225" s="47"/>
      <c r="CW225" s="47"/>
      <c r="CX225" s="47"/>
      <c r="CY225" s="47"/>
      <c r="CZ225" s="11"/>
      <c r="DA225" s="95"/>
      <c r="DB225" s="95"/>
      <c r="DC225" s="95"/>
      <c r="DD225" s="95"/>
      <c r="DE225" s="95"/>
      <c r="DF225" s="95"/>
      <c r="DG225" s="95"/>
      <c r="DH225" s="95"/>
      <c r="DI225" s="95"/>
      <c r="DJ225" s="95"/>
      <c r="DK225" s="95"/>
      <c r="DL225" s="95"/>
      <c r="DM225" s="95"/>
      <c r="DN225" s="1"/>
      <c r="DO225" s="163"/>
      <c r="DP225" s="163"/>
      <c r="DQ225" s="131"/>
    </row>
    <row r="226" outlineLevel="2">
      <c r="A226" s="15"/>
      <c r="B226" s="123" t="s">
        <v>212</v>
      </c>
      <c r="C226" s="124"/>
      <c r="D226" s="225">
        <f t="shared" ref="D226:D233" si="1169">SUMIFS($CM226:$CX226,$CM$35:$CX$35,$D$2)</f>
        <v>0</v>
      </c>
      <c r="E226" s="225">
        <f t="shared" ref="E226:E233" si="1170">SUMIFS($DA226:$DM226,$DA$35:$DM$35,$D$2)</f>
        <v>0</v>
      </c>
      <c r="F226" s="225">
        <f t="shared" ref="F226:F233" si="1171">SUMIFS($BK226:$BV226,$BK$35:$BV$35,$D$2)</f>
        <v>590.4644</v>
      </c>
      <c r="G226" s="225">
        <f t="shared" ref="G226:G233" si="1172">SUMIFS($BY226:$CJ226,$BY$35:$CJ$35,$D$2)</f>
        <v>0</v>
      </c>
      <c r="H226" s="175"/>
      <c r="I226" s="176">
        <f t="shared" ref="I226:I234" si="1173">E226-D226</f>
        <v>0</v>
      </c>
      <c r="J226" s="177">
        <f t="shared" ref="J226:J234" si="1174">IFERROR(I226/ABS(E226),0)</f>
        <v>0</v>
      </c>
      <c r="K226" s="176">
        <f t="shared" ref="K226:K234" si="1175">F226-D226</f>
        <v>590.4644</v>
      </c>
      <c r="L226" s="177">
        <f t="shared" ref="L226:L234" si="1176">IFERROR(K226/ABS(F226),0)</f>
        <v>1</v>
      </c>
      <c r="M226" s="176">
        <f t="shared" ref="M226:M234" si="1177">G226-D226</f>
        <v>0</v>
      </c>
      <c r="N226" s="177">
        <f t="shared" ref="N226:N234" si="1178">IFERROR(M226/ABS(G226),0)</f>
        <v>0</v>
      </c>
      <c r="O226" s="175"/>
      <c r="P226" s="225">
        <f t="shared" ref="P226:P233" si="1179">SUMIFS($CM226:$CX226,$CM$35:$CX$35,$P$2)</f>
        <v>0</v>
      </c>
      <c r="Q226" s="225">
        <f t="shared" ref="Q226:Q233" si="1180">SUMIFS($BK226:$BV226,$BK$35:$BV$35,$P$2)</f>
        <v>2371.172</v>
      </c>
      <c r="R226" s="47">
        <f t="shared" ref="R226:R233" si="1181">SUMIFS($BY226:$CJ226,$BY$35:$CJ$35,$P$2)</f>
        <v>0</v>
      </c>
      <c r="S226" s="48"/>
      <c r="T226" s="66">
        <f t="shared" ref="T226:T234" si="1182">Q226-P226</f>
        <v>2371.172</v>
      </c>
      <c r="U226" s="67">
        <f t="shared" ref="U226:U234" si="1183">IFERROR(T226/ABS(Q226),0)</f>
        <v>1</v>
      </c>
      <c r="V226" s="66">
        <f t="shared" ref="V226:V234" si="1184">R226-P226</f>
        <v>0</v>
      </c>
      <c r="W226" s="67">
        <f t="shared" ref="W226:W234" si="1185">IFERROR(V226/ABS(R226),0)</f>
        <v>0</v>
      </c>
      <c r="X226" s="48"/>
      <c r="Y226" s="47">
        <f t="shared" ref="Y226:Y233" si="1186">$AU226</f>
        <v>1017.2714</v>
      </c>
      <c r="Z226" s="47">
        <f t="shared" ref="Z226:Z233" si="1187">$BI226</f>
        <v>3124.2475</v>
      </c>
      <c r="AA226" s="47">
        <f t="shared" ref="AA226:AA233" si="1188">$BW226</f>
        <v>5495.4194</v>
      </c>
      <c r="AB226" s="95" t="str">
        <f t="shared" ref="AB226:AB233" si="1189">$CK226</f>
        <v/>
      </c>
      <c r="AC226" s="125"/>
      <c r="AD226" s="66">
        <f t="shared" ref="AD226:AD234" si="1190">AA226-Y226</f>
        <v>4478.148</v>
      </c>
      <c r="AE226" s="67">
        <f t="shared" ref="AE226:AE234" si="1191">IFERROR(AD226/ABS(AA226),0)</f>
        <v>0.8148873951</v>
      </c>
      <c r="AF226" s="66">
        <f t="shared" ref="AF226:AF234" si="1192">AB226-Y226</f>
        <v>-1017.2714</v>
      </c>
      <c r="AG226" s="67">
        <f t="shared" ref="AG226:AG234" si="1193">IFERROR(AF226/ABS(AB226),0)</f>
        <v>0</v>
      </c>
      <c r="AH226" s="126"/>
      <c r="AI226" s="47" t="str">
        <f t="shared" ref="AI226:AI233" si="1194">IFERROR(IF(AI$3="A",CM226,IF(AI$3="F",DA226)),0)</f>
        <v/>
      </c>
      <c r="AJ226" s="47" t="str">
        <f t="shared" ref="AJ226:AT226" si="1167">IFERROR(IF(AJ$3="A",CN226,IF(AJ$3="F",DB226,IF(AJ$3="B",BL226,0))),"")</f>
        <v/>
      </c>
      <c r="AK226" s="47" t="str">
        <f t="shared" si="1167"/>
        <v/>
      </c>
      <c r="AL226" s="47" t="str">
        <f t="shared" si="1167"/>
        <v/>
      </c>
      <c r="AM226" s="47" t="str">
        <f t="shared" si="1167"/>
        <v/>
      </c>
      <c r="AN226" s="47" t="str">
        <f t="shared" si="1167"/>
        <v/>
      </c>
      <c r="AO226" s="47" t="str">
        <f t="shared" si="1167"/>
        <v/>
      </c>
      <c r="AP226" s="47" t="str">
        <f t="shared" si="1167"/>
        <v/>
      </c>
      <c r="AQ226" s="47" t="str">
        <f t="shared" si="1167"/>
        <v/>
      </c>
      <c r="AR226" s="47">
        <f t="shared" si="1167"/>
        <v>515.4192</v>
      </c>
      <c r="AS226" s="47">
        <f t="shared" si="1167"/>
        <v>268.335</v>
      </c>
      <c r="AT226" s="47">
        <f t="shared" si="1167"/>
        <v>233.5172</v>
      </c>
      <c r="AU226" s="65">
        <f t="shared" ref="AU226:AU233" si="1196">SUM(AI226:AT226)</f>
        <v>1017.2714</v>
      </c>
      <c r="AV226" s="127"/>
      <c r="AW226" s="47" t="str">
        <f t="shared" ref="AW226:BH226" si="1168">IFERROR(IF(AW$3="A",CM226,IF(AW$3="B",BK226)),0)</f>
        <v/>
      </c>
      <c r="AX226" s="47" t="str">
        <f t="shared" si="1168"/>
        <v/>
      </c>
      <c r="AY226" s="47" t="str">
        <f t="shared" si="1168"/>
        <v/>
      </c>
      <c r="AZ226" s="47" t="str">
        <f t="shared" si="1168"/>
        <v/>
      </c>
      <c r="BA226" s="47" t="str">
        <f t="shared" si="1168"/>
        <v/>
      </c>
      <c r="BB226" s="47" t="str">
        <f t="shared" si="1168"/>
        <v/>
      </c>
      <c r="BC226" s="47">
        <f t="shared" si="1168"/>
        <v>997.5524</v>
      </c>
      <c r="BD226" s="47">
        <f t="shared" si="1168"/>
        <v>590.2164</v>
      </c>
      <c r="BE226" s="47">
        <f t="shared" si="1168"/>
        <v>519.2073</v>
      </c>
      <c r="BF226" s="47">
        <f t="shared" si="1168"/>
        <v>515.4192</v>
      </c>
      <c r="BG226" s="47">
        <f t="shared" si="1168"/>
        <v>268.335</v>
      </c>
      <c r="BH226" s="47">
        <f t="shared" si="1168"/>
        <v>233.5172</v>
      </c>
      <c r="BI226" s="65">
        <f t="shared" ref="BI226:BI233" si="1198">SUM(AW226:BH226)</f>
        <v>3124.2475</v>
      </c>
      <c r="BJ226" s="126"/>
      <c r="BK226" s="128">
        <v>276.1407</v>
      </c>
      <c r="BL226" s="128">
        <v>276.6393</v>
      </c>
      <c r="BM226" s="128">
        <v>200.043</v>
      </c>
      <c r="BN226" s="128">
        <v>438.3846</v>
      </c>
      <c r="BO226" s="128">
        <v>589.5</v>
      </c>
      <c r="BP226" s="128">
        <v>590.4644</v>
      </c>
      <c r="BQ226" s="128">
        <v>997.5524</v>
      </c>
      <c r="BR226" s="128">
        <v>590.2164</v>
      </c>
      <c r="BS226" s="128">
        <v>519.2073</v>
      </c>
      <c r="BT226" s="128">
        <v>515.4192</v>
      </c>
      <c r="BU226" s="128">
        <v>268.335</v>
      </c>
      <c r="BV226" s="128">
        <v>233.5172</v>
      </c>
      <c r="BW226" s="129">
        <v>5495.4194</v>
      </c>
      <c r="BX226" s="1"/>
      <c r="BY226" s="47"/>
      <c r="BZ226" s="47"/>
      <c r="CA226" s="47"/>
      <c r="CB226" s="47"/>
      <c r="CC226" s="47"/>
      <c r="CD226" s="47"/>
      <c r="CE226" s="47"/>
      <c r="CF226" s="47"/>
      <c r="CG226" s="47"/>
      <c r="CH226" s="47"/>
      <c r="CI226" s="47"/>
      <c r="CJ226" s="47"/>
      <c r="CK226" s="65"/>
      <c r="CL226" s="47"/>
      <c r="CM226" s="47"/>
      <c r="CN226" s="47"/>
      <c r="CO226" s="47"/>
      <c r="CP226" s="47"/>
      <c r="CQ226" s="47"/>
      <c r="CR226" s="47"/>
      <c r="CS226" s="47"/>
      <c r="CT226" s="47"/>
      <c r="CU226" s="47"/>
      <c r="CV226" s="47"/>
      <c r="CW226" s="47"/>
      <c r="CX226" s="47"/>
      <c r="CY226" s="65"/>
      <c r="CZ226" s="11"/>
      <c r="DA226" s="47">
        <f t="shared" ref="DA226:DA233" si="1199">BK226</f>
        <v>276.1407</v>
      </c>
      <c r="DB226" s="47"/>
      <c r="DC226" s="47"/>
      <c r="DD226" s="47"/>
      <c r="DE226" s="47"/>
      <c r="DF226" s="47"/>
      <c r="DG226" s="47"/>
      <c r="DH226" s="47"/>
      <c r="DI226" s="47"/>
      <c r="DJ226" s="47"/>
      <c r="DK226" s="47"/>
      <c r="DL226" s="47"/>
      <c r="DM226" s="65">
        <f t="shared" ref="DM226:DM233" si="1200">SUM(DA226:DL226)</f>
        <v>276.1407</v>
      </c>
      <c r="DN226" s="1"/>
      <c r="DO226" s="130"/>
      <c r="DP226" s="130"/>
      <c r="DQ226" s="131"/>
    </row>
    <row r="227" outlineLevel="2">
      <c r="A227" s="15"/>
      <c r="B227" s="123" t="s">
        <v>213</v>
      </c>
      <c r="C227" s="124"/>
      <c r="D227" s="225">
        <f t="shared" si="1169"/>
        <v>0</v>
      </c>
      <c r="E227" s="225">
        <f t="shared" si="1170"/>
        <v>0</v>
      </c>
      <c r="F227" s="225">
        <f t="shared" si="1171"/>
        <v>343.1999</v>
      </c>
      <c r="G227" s="225">
        <f t="shared" si="1172"/>
        <v>0</v>
      </c>
      <c r="H227" s="175"/>
      <c r="I227" s="176">
        <f t="shared" si="1173"/>
        <v>0</v>
      </c>
      <c r="J227" s="177">
        <f t="shared" si="1174"/>
        <v>0</v>
      </c>
      <c r="K227" s="176">
        <f t="shared" si="1175"/>
        <v>343.1999</v>
      </c>
      <c r="L227" s="177">
        <f t="shared" si="1176"/>
        <v>1</v>
      </c>
      <c r="M227" s="176">
        <f t="shared" si="1177"/>
        <v>0</v>
      </c>
      <c r="N227" s="177">
        <f t="shared" si="1178"/>
        <v>0</v>
      </c>
      <c r="O227" s="175"/>
      <c r="P227" s="225">
        <f t="shared" si="1179"/>
        <v>0</v>
      </c>
      <c r="Q227" s="225">
        <f t="shared" si="1180"/>
        <v>2073.1555</v>
      </c>
      <c r="R227" s="47">
        <f t="shared" si="1181"/>
        <v>0</v>
      </c>
      <c r="S227" s="48"/>
      <c r="T227" s="66">
        <f t="shared" si="1182"/>
        <v>2073.1555</v>
      </c>
      <c r="U227" s="67">
        <f t="shared" si="1183"/>
        <v>1</v>
      </c>
      <c r="V227" s="66">
        <f t="shared" si="1184"/>
        <v>0</v>
      </c>
      <c r="W227" s="67">
        <f t="shared" si="1185"/>
        <v>0</v>
      </c>
      <c r="X227" s="48"/>
      <c r="Y227" s="47">
        <f t="shared" si="1186"/>
        <v>1690.0563</v>
      </c>
      <c r="Z227" s="47">
        <f t="shared" si="1187"/>
        <v>3124.6517</v>
      </c>
      <c r="AA227" s="47">
        <f t="shared" si="1188"/>
        <v>5197.807</v>
      </c>
      <c r="AB227" s="95" t="str">
        <f t="shared" si="1189"/>
        <v/>
      </c>
      <c r="AC227" s="125"/>
      <c r="AD227" s="66">
        <f t="shared" si="1190"/>
        <v>3507.7507</v>
      </c>
      <c r="AE227" s="67">
        <f t="shared" si="1191"/>
        <v>0.6748520482</v>
      </c>
      <c r="AF227" s="66">
        <f t="shared" si="1192"/>
        <v>-1690.0563</v>
      </c>
      <c r="AG227" s="67">
        <f t="shared" si="1193"/>
        <v>0</v>
      </c>
      <c r="AH227" s="126"/>
      <c r="AI227" s="47" t="str">
        <f t="shared" si="1194"/>
        <v/>
      </c>
      <c r="AJ227" s="47" t="str">
        <f t="shared" ref="AJ227:AT227" si="1195">IFERROR(IF(AJ$3="A",CN227,IF(AJ$3="F",DB227,IF(AJ$3="B",BL227,0))),"")</f>
        <v/>
      </c>
      <c r="AK227" s="47" t="str">
        <f t="shared" si="1195"/>
        <v/>
      </c>
      <c r="AL227" s="47" t="str">
        <f t="shared" si="1195"/>
        <v/>
      </c>
      <c r="AM227" s="47" t="str">
        <f t="shared" si="1195"/>
        <v/>
      </c>
      <c r="AN227" s="47" t="str">
        <f t="shared" si="1195"/>
        <v/>
      </c>
      <c r="AO227" s="47" t="str">
        <f t="shared" si="1195"/>
        <v/>
      </c>
      <c r="AP227" s="47" t="str">
        <f t="shared" si="1195"/>
        <v/>
      </c>
      <c r="AQ227" s="47" t="str">
        <f t="shared" si="1195"/>
        <v/>
      </c>
      <c r="AR227" s="47">
        <f t="shared" si="1195"/>
        <v>691.0722</v>
      </c>
      <c r="AS227" s="47">
        <f t="shared" si="1195"/>
        <v>463.6545</v>
      </c>
      <c r="AT227" s="47">
        <f t="shared" si="1195"/>
        <v>535.3296</v>
      </c>
      <c r="AU227" s="65">
        <f t="shared" si="1196"/>
        <v>1690.0563</v>
      </c>
      <c r="AV227" s="127"/>
      <c r="AW227" s="47" t="str">
        <f t="shared" ref="AW227:BH227" si="1197">IFERROR(IF(AW$3="A",CM227,IF(AW$3="B",BK227)),0)</f>
        <v/>
      </c>
      <c r="AX227" s="47" t="str">
        <f t="shared" si="1197"/>
        <v/>
      </c>
      <c r="AY227" s="47" t="str">
        <f t="shared" si="1197"/>
        <v/>
      </c>
      <c r="AZ227" s="47" t="str">
        <f t="shared" si="1197"/>
        <v/>
      </c>
      <c r="BA227" s="47" t="str">
        <f t="shared" si="1197"/>
        <v/>
      </c>
      <c r="BB227" s="47" t="str">
        <f t="shared" si="1197"/>
        <v/>
      </c>
      <c r="BC227" s="47">
        <f t="shared" si="1197"/>
        <v>393.4266</v>
      </c>
      <c r="BD227" s="47">
        <f t="shared" si="1197"/>
        <v>393.6765</v>
      </c>
      <c r="BE227" s="47">
        <f t="shared" si="1197"/>
        <v>647.4923</v>
      </c>
      <c r="BF227" s="47">
        <f t="shared" si="1197"/>
        <v>691.0722</v>
      </c>
      <c r="BG227" s="47">
        <f t="shared" si="1197"/>
        <v>463.6545</v>
      </c>
      <c r="BH227" s="47">
        <f t="shared" si="1197"/>
        <v>535.3296</v>
      </c>
      <c r="BI227" s="65">
        <f t="shared" si="1198"/>
        <v>3124.6517</v>
      </c>
      <c r="BJ227" s="126"/>
      <c r="BK227" s="128">
        <v>400.9033</v>
      </c>
      <c r="BL227" s="128">
        <v>330.6478</v>
      </c>
      <c r="BM227" s="128">
        <v>301.5492</v>
      </c>
      <c r="BN227" s="128">
        <v>421.7553</v>
      </c>
      <c r="BO227" s="128">
        <v>275.1</v>
      </c>
      <c r="BP227" s="128">
        <v>343.1999</v>
      </c>
      <c r="BQ227" s="128">
        <v>393.4266</v>
      </c>
      <c r="BR227" s="128">
        <v>393.6765</v>
      </c>
      <c r="BS227" s="128">
        <v>647.4923</v>
      </c>
      <c r="BT227" s="128">
        <v>691.0722</v>
      </c>
      <c r="BU227" s="128">
        <v>463.6545</v>
      </c>
      <c r="BV227" s="128">
        <v>535.3296</v>
      </c>
      <c r="BW227" s="129">
        <v>5197.807</v>
      </c>
      <c r="BX227" s="1"/>
      <c r="BY227" s="47"/>
      <c r="BZ227" s="47"/>
      <c r="CA227" s="47"/>
      <c r="CB227" s="47"/>
      <c r="CC227" s="47"/>
      <c r="CD227" s="47"/>
      <c r="CE227" s="47"/>
      <c r="CF227" s="47"/>
      <c r="CG227" s="47"/>
      <c r="CH227" s="47"/>
      <c r="CI227" s="47"/>
      <c r="CJ227" s="47"/>
      <c r="CK227" s="65"/>
      <c r="CL227" s="47"/>
      <c r="CM227" s="47"/>
      <c r="CN227" s="47"/>
      <c r="CO227" s="47"/>
      <c r="CP227" s="47"/>
      <c r="CQ227" s="47"/>
      <c r="CR227" s="47"/>
      <c r="CS227" s="47"/>
      <c r="CT227" s="47"/>
      <c r="CU227" s="47"/>
      <c r="CV227" s="47"/>
      <c r="CW227" s="47"/>
      <c r="CX227" s="47"/>
      <c r="CY227" s="65"/>
      <c r="CZ227" s="11"/>
      <c r="DA227" s="47">
        <f t="shared" si="1199"/>
        <v>400.9033</v>
      </c>
      <c r="DB227" s="47"/>
      <c r="DC227" s="47"/>
      <c r="DD227" s="47"/>
      <c r="DE227" s="47"/>
      <c r="DF227" s="47"/>
      <c r="DG227" s="47"/>
      <c r="DH227" s="47"/>
      <c r="DI227" s="47"/>
      <c r="DJ227" s="47"/>
      <c r="DK227" s="47"/>
      <c r="DL227" s="47"/>
      <c r="DM227" s="65">
        <f t="shared" si="1200"/>
        <v>400.9033</v>
      </c>
      <c r="DN227" s="1"/>
      <c r="DO227" s="130"/>
      <c r="DP227" s="130"/>
      <c r="DQ227" s="131"/>
    </row>
    <row r="228" outlineLevel="2">
      <c r="A228" s="15"/>
      <c r="B228" s="123" t="s">
        <v>214</v>
      </c>
      <c r="C228" s="124"/>
      <c r="D228" s="225">
        <f t="shared" si="1169"/>
        <v>0</v>
      </c>
      <c r="E228" s="225">
        <f t="shared" si="1170"/>
        <v>0</v>
      </c>
      <c r="F228" s="225">
        <f t="shared" si="1171"/>
        <v>6197.4863</v>
      </c>
      <c r="G228" s="225">
        <f t="shared" si="1172"/>
        <v>0</v>
      </c>
      <c r="H228" s="175"/>
      <c r="I228" s="176">
        <f t="shared" si="1173"/>
        <v>0</v>
      </c>
      <c r="J228" s="177">
        <f t="shared" si="1174"/>
        <v>0</v>
      </c>
      <c r="K228" s="176">
        <f t="shared" si="1175"/>
        <v>6197.4863</v>
      </c>
      <c r="L228" s="177">
        <f t="shared" si="1176"/>
        <v>1</v>
      </c>
      <c r="M228" s="176">
        <f t="shared" si="1177"/>
        <v>0</v>
      </c>
      <c r="N228" s="177">
        <f t="shared" si="1178"/>
        <v>0</v>
      </c>
      <c r="O228" s="175"/>
      <c r="P228" s="225">
        <f t="shared" si="1179"/>
        <v>0</v>
      </c>
      <c r="Q228" s="225">
        <f t="shared" si="1180"/>
        <v>36048.7505</v>
      </c>
      <c r="R228" s="47">
        <f t="shared" si="1181"/>
        <v>0</v>
      </c>
      <c r="S228" s="48"/>
      <c r="T228" s="66">
        <f t="shared" si="1182"/>
        <v>36048.7505</v>
      </c>
      <c r="U228" s="67">
        <f t="shared" si="1183"/>
        <v>1</v>
      </c>
      <c r="V228" s="66">
        <f t="shared" si="1184"/>
        <v>0</v>
      </c>
      <c r="W228" s="67">
        <f t="shared" si="1185"/>
        <v>0</v>
      </c>
      <c r="X228" s="48"/>
      <c r="Y228" s="47">
        <f t="shared" si="1186"/>
        <v>14537.4229</v>
      </c>
      <c r="Z228" s="47">
        <f t="shared" si="1187"/>
        <v>56309.2046</v>
      </c>
      <c r="AA228" s="47">
        <f t="shared" si="1188"/>
        <v>92357.9551</v>
      </c>
      <c r="AB228" s="95" t="str">
        <f t="shared" si="1189"/>
        <v/>
      </c>
      <c r="AC228" s="125"/>
      <c r="AD228" s="66">
        <f t="shared" si="1190"/>
        <v>77820.5322</v>
      </c>
      <c r="AE228" s="67">
        <f t="shared" si="1191"/>
        <v>0.84259696</v>
      </c>
      <c r="AF228" s="66">
        <f t="shared" si="1192"/>
        <v>-14537.4229</v>
      </c>
      <c r="AG228" s="67">
        <f t="shared" si="1193"/>
        <v>0</v>
      </c>
      <c r="AH228" s="126"/>
      <c r="AI228" s="47" t="str">
        <f t="shared" si="1194"/>
        <v/>
      </c>
      <c r="AJ228" s="47" t="str">
        <f t="shared" ref="AJ228:AT228" si="1201">IFERROR(IF(AJ$3="A",CN228,IF(AJ$3="F",DB228,IF(AJ$3="B",BL228,0))),"")</f>
        <v/>
      </c>
      <c r="AK228" s="47" t="str">
        <f t="shared" si="1201"/>
        <v/>
      </c>
      <c r="AL228" s="47" t="str">
        <f t="shared" si="1201"/>
        <v/>
      </c>
      <c r="AM228" s="47" t="str">
        <f t="shared" si="1201"/>
        <v/>
      </c>
      <c r="AN228" s="47" t="str">
        <f t="shared" si="1201"/>
        <v/>
      </c>
      <c r="AO228" s="47" t="str">
        <f t="shared" si="1201"/>
        <v/>
      </c>
      <c r="AP228" s="47" t="str">
        <f t="shared" si="1201"/>
        <v/>
      </c>
      <c r="AQ228" s="47" t="str">
        <f t="shared" si="1201"/>
        <v/>
      </c>
      <c r="AR228" s="47">
        <f t="shared" si="1201"/>
        <v>5684.8128</v>
      </c>
      <c r="AS228" s="47">
        <f t="shared" si="1201"/>
        <v>3973.9609</v>
      </c>
      <c r="AT228" s="47">
        <f t="shared" si="1201"/>
        <v>4878.6492</v>
      </c>
      <c r="AU228" s="65">
        <f t="shared" si="1196"/>
        <v>14537.4229</v>
      </c>
      <c r="AV228" s="127"/>
      <c r="AW228" s="47" t="str">
        <f t="shared" ref="AW228:BH228" si="1202">IFERROR(IF(AW$3="A",CM228,IF(AW$3="B",BK228)),0)</f>
        <v/>
      </c>
      <c r="AX228" s="47" t="str">
        <f t="shared" si="1202"/>
        <v/>
      </c>
      <c r="AY228" s="47" t="str">
        <f t="shared" si="1202"/>
        <v/>
      </c>
      <c r="AZ228" s="47" t="str">
        <f t="shared" si="1202"/>
        <v/>
      </c>
      <c r="BA228" s="47" t="str">
        <f t="shared" si="1202"/>
        <v/>
      </c>
      <c r="BB228" s="47" t="str">
        <f t="shared" si="1202"/>
        <v/>
      </c>
      <c r="BC228" s="47">
        <f t="shared" si="1202"/>
        <v>16125.0959</v>
      </c>
      <c r="BD228" s="47">
        <f t="shared" si="1202"/>
        <v>14942.8344</v>
      </c>
      <c r="BE228" s="47">
        <f t="shared" si="1202"/>
        <v>10703.8514</v>
      </c>
      <c r="BF228" s="47">
        <f t="shared" si="1202"/>
        <v>5684.8128</v>
      </c>
      <c r="BG228" s="47">
        <f t="shared" si="1202"/>
        <v>3973.9609</v>
      </c>
      <c r="BH228" s="47">
        <f t="shared" si="1202"/>
        <v>4878.6492</v>
      </c>
      <c r="BI228" s="65">
        <f t="shared" si="1198"/>
        <v>56309.2046</v>
      </c>
      <c r="BJ228" s="126"/>
      <c r="BK228" s="128">
        <v>9294.0818</v>
      </c>
      <c r="BL228" s="128">
        <v>6555.893</v>
      </c>
      <c r="BM228" s="128">
        <v>5022.8623</v>
      </c>
      <c r="BN228" s="128">
        <v>5046.8199</v>
      </c>
      <c r="BO228" s="128">
        <v>3931.6072</v>
      </c>
      <c r="BP228" s="128">
        <v>6197.4863</v>
      </c>
      <c r="BQ228" s="128">
        <v>16125.0959</v>
      </c>
      <c r="BR228" s="128">
        <v>14942.8344</v>
      </c>
      <c r="BS228" s="128">
        <v>10703.8514</v>
      </c>
      <c r="BT228" s="128">
        <v>5684.8128</v>
      </c>
      <c r="BU228" s="128">
        <v>3973.9609</v>
      </c>
      <c r="BV228" s="128">
        <v>4878.6492</v>
      </c>
      <c r="BW228" s="129">
        <v>92357.9551</v>
      </c>
      <c r="BX228" s="1"/>
      <c r="BY228" s="47"/>
      <c r="BZ228" s="47"/>
      <c r="CA228" s="47"/>
      <c r="CB228" s="47"/>
      <c r="CC228" s="47"/>
      <c r="CD228" s="47"/>
      <c r="CE228" s="47"/>
      <c r="CF228" s="47"/>
      <c r="CG228" s="47"/>
      <c r="CH228" s="47"/>
      <c r="CI228" s="47"/>
      <c r="CJ228" s="47"/>
      <c r="CK228" s="65"/>
      <c r="CL228" s="47"/>
      <c r="CM228" s="47"/>
      <c r="CN228" s="47"/>
      <c r="CO228" s="47"/>
      <c r="CP228" s="47"/>
      <c r="CQ228" s="47"/>
      <c r="CR228" s="47"/>
      <c r="CS228" s="47"/>
      <c r="CT228" s="47"/>
      <c r="CU228" s="47"/>
      <c r="CV228" s="47"/>
      <c r="CW228" s="47"/>
      <c r="CX228" s="47"/>
      <c r="CY228" s="65"/>
      <c r="CZ228" s="11"/>
      <c r="DA228" s="47">
        <f t="shared" si="1199"/>
        <v>9294.0818</v>
      </c>
      <c r="DB228" s="47"/>
      <c r="DC228" s="47"/>
      <c r="DD228" s="47"/>
      <c r="DE228" s="47"/>
      <c r="DF228" s="47"/>
      <c r="DG228" s="47"/>
      <c r="DH228" s="47"/>
      <c r="DI228" s="47"/>
      <c r="DJ228" s="47"/>
      <c r="DK228" s="47"/>
      <c r="DL228" s="47"/>
      <c r="DM228" s="65">
        <f t="shared" si="1200"/>
        <v>9294.0818</v>
      </c>
      <c r="DN228" s="1"/>
      <c r="DO228" s="130"/>
      <c r="DP228" s="130"/>
      <c r="DQ228" s="131"/>
    </row>
    <row r="229" outlineLevel="2">
      <c r="A229" s="15"/>
      <c r="B229" s="123" t="s">
        <v>215</v>
      </c>
      <c r="C229" s="124"/>
      <c r="D229" s="225">
        <f t="shared" si="1169"/>
        <v>0</v>
      </c>
      <c r="E229" s="225">
        <f t="shared" si="1170"/>
        <v>0</v>
      </c>
      <c r="F229" s="225">
        <f t="shared" si="1171"/>
        <v>2721.0857</v>
      </c>
      <c r="G229" s="225">
        <f t="shared" si="1172"/>
        <v>0</v>
      </c>
      <c r="H229" s="175"/>
      <c r="I229" s="176">
        <f t="shared" si="1173"/>
        <v>0</v>
      </c>
      <c r="J229" s="177">
        <f t="shared" si="1174"/>
        <v>0</v>
      </c>
      <c r="K229" s="176">
        <f t="shared" si="1175"/>
        <v>2721.0857</v>
      </c>
      <c r="L229" s="177">
        <f t="shared" si="1176"/>
        <v>1</v>
      </c>
      <c r="M229" s="176">
        <f t="shared" si="1177"/>
        <v>0</v>
      </c>
      <c r="N229" s="177">
        <f t="shared" si="1178"/>
        <v>0</v>
      </c>
      <c r="O229" s="175"/>
      <c r="P229" s="225">
        <f t="shared" si="1179"/>
        <v>0</v>
      </c>
      <c r="Q229" s="225">
        <f t="shared" si="1180"/>
        <v>12477.8639</v>
      </c>
      <c r="R229" s="47">
        <f t="shared" si="1181"/>
        <v>0</v>
      </c>
      <c r="S229" s="48"/>
      <c r="T229" s="66">
        <f t="shared" si="1182"/>
        <v>12477.8639</v>
      </c>
      <c r="U229" s="67">
        <f t="shared" si="1183"/>
        <v>1</v>
      </c>
      <c r="V229" s="66">
        <f t="shared" si="1184"/>
        <v>0</v>
      </c>
      <c r="W229" s="67">
        <f t="shared" si="1185"/>
        <v>0</v>
      </c>
      <c r="X229" s="48"/>
      <c r="Y229" s="47">
        <f t="shared" si="1186"/>
        <v>5755.82</v>
      </c>
      <c r="Z229" s="47">
        <f t="shared" si="1187"/>
        <v>16920.1792</v>
      </c>
      <c r="AA229" s="47">
        <f t="shared" si="1188"/>
        <v>29398.0428</v>
      </c>
      <c r="AB229" s="95" t="str">
        <f t="shared" si="1189"/>
        <v/>
      </c>
      <c r="AC229" s="125"/>
      <c r="AD229" s="66">
        <f t="shared" si="1190"/>
        <v>23642.2228</v>
      </c>
      <c r="AE229" s="67">
        <f t="shared" si="1191"/>
        <v>0.8042107756</v>
      </c>
      <c r="AF229" s="66">
        <f t="shared" si="1192"/>
        <v>-5755.82</v>
      </c>
      <c r="AG229" s="67">
        <f t="shared" si="1193"/>
        <v>0</v>
      </c>
      <c r="AH229" s="126"/>
      <c r="AI229" s="47" t="str">
        <f t="shared" si="1194"/>
        <v/>
      </c>
      <c r="AJ229" s="47" t="str">
        <f t="shared" ref="AJ229:AT229" si="1203">IFERROR(IF(AJ$3="A",CN229,IF(AJ$3="F",DB229,IF(AJ$3="B",BL229,0))),"")</f>
        <v/>
      </c>
      <c r="AK229" s="47" t="str">
        <f t="shared" si="1203"/>
        <v/>
      </c>
      <c r="AL229" s="47" t="str">
        <f t="shared" si="1203"/>
        <v/>
      </c>
      <c r="AM229" s="47" t="str">
        <f t="shared" si="1203"/>
        <v/>
      </c>
      <c r="AN229" s="47" t="str">
        <f t="shared" si="1203"/>
        <v/>
      </c>
      <c r="AO229" s="47" t="str">
        <f t="shared" si="1203"/>
        <v/>
      </c>
      <c r="AP229" s="47" t="str">
        <f t="shared" si="1203"/>
        <v/>
      </c>
      <c r="AQ229" s="47" t="str">
        <f t="shared" si="1203"/>
        <v/>
      </c>
      <c r="AR229" s="47">
        <f t="shared" si="1203"/>
        <v>2692.4895</v>
      </c>
      <c r="AS229" s="47">
        <f t="shared" si="1203"/>
        <v>1421.775</v>
      </c>
      <c r="AT229" s="47">
        <f t="shared" si="1203"/>
        <v>1641.5555</v>
      </c>
      <c r="AU229" s="65">
        <f t="shared" si="1196"/>
        <v>5755.82</v>
      </c>
      <c r="AV229" s="127"/>
      <c r="AW229" s="47" t="str">
        <f t="shared" ref="AW229:BH229" si="1204">IFERROR(IF(AW$3="A",CM229,IF(AW$3="B",BK229)),0)</f>
        <v/>
      </c>
      <c r="AX229" s="47" t="str">
        <f t="shared" si="1204"/>
        <v/>
      </c>
      <c r="AY229" s="47" t="str">
        <f t="shared" si="1204"/>
        <v/>
      </c>
      <c r="AZ229" s="47" t="str">
        <f t="shared" si="1204"/>
        <v/>
      </c>
      <c r="BA229" s="47" t="str">
        <f t="shared" si="1204"/>
        <v/>
      </c>
      <c r="BB229" s="47" t="str">
        <f t="shared" si="1204"/>
        <v/>
      </c>
      <c r="BC229" s="47">
        <f t="shared" si="1204"/>
        <v>4386.4065</v>
      </c>
      <c r="BD229" s="47">
        <f t="shared" si="1204"/>
        <v>4065.6753</v>
      </c>
      <c r="BE229" s="47">
        <f t="shared" si="1204"/>
        <v>2712.2774</v>
      </c>
      <c r="BF229" s="47">
        <f t="shared" si="1204"/>
        <v>2692.4895</v>
      </c>
      <c r="BG229" s="47">
        <f t="shared" si="1204"/>
        <v>1421.775</v>
      </c>
      <c r="BH229" s="47">
        <f t="shared" si="1204"/>
        <v>1641.5555</v>
      </c>
      <c r="BI229" s="65">
        <f t="shared" si="1198"/>
        <v>16920.1792</v>
      </c>
      <c r="BJ229" s="126"/>
      <c r="BK229" s="128">
        <v>2581.4183</v>
      </c>
      <c r="BL229" s="128">
        <v>1925.6265</v>
      </c>
      <c r="BM229" s="128">
        <v>1616.0819</v>
      </c>
      <c r="BN229" s="128">
        <v>1533.5577</v>
      </c>
      <c r="BO229" s="128">
        <v>2100.0938</v>
      </c>
      <c r="BP229" s="128">
        <v>2721.0857</v>
      </c>
      <c r="BQ229" s="128">
        <v>4386.4065</v>
      </c>
      <c r="BR229" s="128">
        <v>4065.6753</v>
      </c>
      <c r="BS229" s="128">
        <v>2712.2774</v>
      </c>
      <c r="BT229" s="128">
        <v>2692.4895</v>
      </c>
      <c r="BU229" s="128">
        <v>1421.775</v>
      </c>
      <c r="BV229" s="128">
        <v>1641.5555</v>
      </c>
      <c r="BW229" s="129">
        <v>29398.0428</v>
      </c>
      <c r="BX229" s="1"/>
      <c r="BY229" s="47"/>
      <c r="BZ229" s="47"/>
      <c r="CA229" s="47"/>
      <c r="CB229" s="47"/>
      <c r="CC229" s="47"/>
      <c r="CD229" s="47"/>
      <c r="CE229" s="47"/>
      <c r="CF229" s="47"/>
      <c r="CG229" s="47"/>
      <c r="CH229" s="47"/>
      <c r="CI229" s="47"/>
      <c r="CJ229" s="47"/>
      <c r="CK229" s="65"/>
      <c r="CL229" s="47"/>
      <c r="CM229" s="47"/>
      <c r="CN229" s="47"/>
      <c r="CO229" s="47"/>
      <c r="CP229" s="47"/>
      <c r="CQ229" s="47"/>
      <c r="CR229" s="47"/>
      <c r="CS229" s="47"/>
      <c r="CT229" s="47"/>
      <c r="CU229" s="47"/>
      <c r="CV229" s="47"/>
      <c r="CW229" s="47"/>
      <c r="CX229" s="47"/>
      <c r="CY229" s="65"/>
      <c r="CZ229" s="11"/>
      <c r="DA229" s="47">
        <f t="shared" si="1199"/>
        <v>2581.4183</v>
      </c>
      <c r="DB229" s="47"/>
      <c r="DC229" s="47"/>
      <c r="DD229" s="47"/>
      <c r="DE229" s="47"/>
      <c r="DF229" s="47"/>
      <c r="DG229" s="47"/>
      <c r="DH229" s="47"/>
      <c r="DI229" s="47"/>
      <c r="DJ229" s="47"/>
      <c r="DK229" s="47"/>
      <c r="DL229" s="47"/>
      <c r="DM229" s="65">
        <f t="shared" si="1200"/>
        <v>2581.4183</v>
      </c>
      <c r="DN229" s="1"/>
      <c r="DO229" s="130"/>
      <c r="DP229" s="130"/>
      <c r="DQ229" s="131"/>
    </row>
    <row r="230" outlineLevel="2">
      <c r="A230" s="15"/>
      <c r="B230" s="123" t="s">
        <v>216</v>
      </c>
      <c r="C230" s="124"/>
      <c r="D230" s="225">
        <f t="shared" si="1169"/>
        <v>0</v>
      </c>
      <c r="E230" s="225">
        <f t="shared" si="1170"/>
        <v>0</v>
      </c>
      <c r="F230" s="225">
        <f t="shared" si="1171"/>
        <v>0</v>
      </c>
      <c r="G230" s="225">
        <f t="shared" si="1172"/>
        <v>0</v>
      </c>
      <c r="H230" s="175"/>
      <c r="I230" s="176">
        <f t="shared" si="1173"/>
        <v>0</v>
      </c>
      <c r="J230" s="177">
        <f t="shared" si="1174"/>
        <v>0</v>
      </c>
      <c r="K230" s="176">
        <f t="shared" si="1175"/>
        <v>0</v>
      </c>
      <c r="L230" s="177">
        <f t="shared" si="1176"/>
        <v>0</v>
      </c>
      <c r="M230" s="176">
        <f t="shared" si="1177"/>
        <v>0</v>
      </c>
      <c r="N230" s="177">
        <f t="shared" si="1178"/>
        <v>0</v>
      </c>
      <c r="O230" s="175"/>
      <c r="P230" s="225">
        <f t="shared" si="1179"/>
        <v>0</v>
      </c>
      <c r="Q230" s="225">
        <f t="shared" si="1180"/>
        <v>0</v>
      </c>
      <c r="R230" s="47">
        <f t="shared" si="1181"/>
        <v>0</v>
      </c>
      <c r="S230" s="48"/>
      <c r="T230" s="66">
        <f t="shared" si="1182"/>
        <v>0</v>
      </c>
      <c r="U230" s="67">
        <f t="shared" si="1183"/>
        <v>0</v>
      </c>
      <c r="V230" s="66">
        <f t="shared" si="1184"/>
        <v>0</v>
      </c>
      <c r="W230" s="67">
        <f t="shared" si="1185"/>
        <v>0</v>
      </c>
      <c r="X230" s="48"/>
      <c r="Y230" s="47">
        <f t="shared" si="1186"/>
        <v>0</v>
      </c>
      <c r="Z230" s="47">
        <f t="shared" si="1187"/>
        <v>0</v>
      </c>
      <c r="AA230" s="47">
        <f t="shared" si="1188"/>
        <v>0</v>
      </c>
      <c r="AB230" s="95" t="str">
        <f t="shared" si="1189"/>
        <v/>
      </c>
      <c r="AC230" s="125"/>
      <c r="AD230" s="66">
        <f t="shared" si="1190"/>
        <v>0</v>
      </c>
      <c r="AE230" s="67">
        <f t="shared" si="1191"/>
        <v>0</v>
      </c>
      <c r="AF230" s="66">
        <f t="shared" si="1192"/>
        <v>0</v>
      </c>
      <c r="AG230" s="67">
        <f t="shared" si="1193"/>
        <v>0</v>
      </c>
      <c r="AH230" s="126"/>
      <c r="AI230" s="47" t="str">
        <f t="shared" si="1194"/>
        <v/>
      </c>
      <c r="AJ230" s="47" t="str">
        <f t="shared" ref="AJ230:AT230" si="1205">IFERROR(IF(AJ$3="A",CN230,IF(AJ$3="F",DB230,IF(AJ$3="B",BL230,0))),"")</f>
        <v/>
      </c>
      <c r="AK230" s="47" t="str">
        <f t="shared" si="1205"/>
        <v/>
      </c>
      <c r="AL230" s="47" t="str">
        <f t="shared" si="1205"/>
        <v/>
      </c>
      <c r="AM230" s="47" t="str">
        <f t="shared" si="1205"/>
        <v/>
      </c>
      <c r="AN230" s="47" t="str">
        <f t="shared" si="1205"/>
        <v/>
      </c>
      <c r="AO230" s="47" t="str">
        <f t="shared" si="1205"/>
        <v/>
      </c>
      <c r="AP230" s="47" t="str">
        <f t="shared" si="1205"/>
        <v/>
      </c>
      <c r="AQ230" s="47" t="str">
        <f t="shared" si="1205"/>
        <v/>
      </c>
      <c r="AR230" s="47">
        <f t="shared" si="1205"/>
        <v>0</v>
      </c>
      <c r="AS230" s="47">
        <f t="shared" si="1205"/>
        <v>0</v>
      </c>
      <c r="AT230" s="47">
        <f t="shared" si="1205"/>
        <v>0</v>
      </c>
      <c r="AU230" s="65">
        <f t="shared" si="1196"/>
        <v>0</v>
      </c>
      <c r="AV230" s="127"/>
      <c r="AW230" s="47" t="str">
        <f t="shared" ref="AW230:BH230" si="1206">IFERROR(IF(AW$3="A",CM230,IF(AW$3="B",BK230)),0)</f>
        <v/>
      </c>
      <c r="AX230" s="47" t="str">
        <f t="shared" si="1206"/>
        <v/>
      </c>
      <c r="AY230" s="47" t="str">
        <f t="shared" si="1206"/>
        <v/>
      </c>
      <c r="AZ230" s="47" t="str">
        <f t="shared" si="1206"/>
        <v/>
      </c>
      <c r="BA230" s="47" t="str">
        <f t="shared" si="1206"/>
        <v/>
      </c>
      <c r="BB230" s="47" t="str">
        <f t="shared" si="1206"/>
        <v/>
      </c>
      <c r="BC230" s="47">
        <f t="shared" si="1206"/>
        <v>0</v>
      </c>
      <c r="BD230" s="47">
        <f t="shared" si="1206"/>
        <v>0</v>
      </c>
      <c r="BE230" s="47">
        <f t="shared" si="1206"/>
        <v>0</v>
      </c>
      <c r="BF230" s="47">
        <f t="shared" si="1206"/>
        <v>0</v>
      </c>
      <c r="BG230" s="47">
        <f t="shared" si="1206"/>
        <v>0</v>
      </c>
      <c r="BH230" s="47">
        <f t="shared" si="1206"/>
        <v>0</v>
      </c>
      <c r="BI230" s="65">
        <f t="shared" si="1198"/>
        <v>0</v>
      </c>
      <c r="BJ230" s="126"/>
      <c r="BK230" s="128">
        <v>0.0</v>
      </c>
      <c r="BL230" s="128">
        <v>0.0</v>
      </c>
      <c r="BM230" s="128">
        <v>0.0</v>
      </c>
      <c r="BN230" s="128">
        <v>0.0</v>
      </c>
      <c r="BO230" s="128">
        <v>0.0</v>
      </c>
      <c r="BP230" s="128">
        <v>0.0</v>
      </c>
      <c r="BQ230" s="128">
        <v>0.0</v>
      </c>
      <c r="BR230" s="128">
        <v>0.0</v>
      </c>
      <c r="BS230" s="128">
        <v>0.0</v>
      </c>
      <c r="BT230" s="128">
        <v>0.0</v>
      </c>
      <c r="BU230" s="128">
        <v>0.0</v>
      </c>
      <c r="BV230" s="128">
        <v>0.0</v>
      </c>
      <c r="BW230" s="129">
        <v>0.0</v>
      </c>
      <c r="BX230" s="1"/>
      <c r="BY230" s="47"/>
      <c r="BZ230" s="47"/>
      <c r="CA230" s="47"/>
      <c r="CB230" s="47"/>
      <c r="CC230" s="47"/>
      <c r="CD230" s="47"/>
      <c r="CE230" s="47"/>
      <c r="CF230" s="47"/>
      <c r="CG230" s="47"/>
      <c r="CH230" s="47"/>
      <c r="CI230" s="47"/>
      <c r="CJ230" s="47"/>
      <c r="CK230" s="65"/>
      <c r="CL230" s="47"/>
      <c r="CM230" s="47"/>
      <c r="CN230" s="47"/>
      <c r="CO230" s="47"/>
      <c r="CP230" s="47"/>
      <c r="CQ230" s="47"/>
      <c r="CR230" s="47"/>
      <c r="CS230" s="47"/>
      <c r="CT230" s="47"/>
      <c r="CU230" s="47"/>
      <c r="CV230" s="47"/>
      <c r="CW230" s="47"/>
      <c r="CX230" s="47"/>
      <c r="CY230" s="65"/>
      <c r="CZ230" s="11"/>
      <c r="DA230" s="47">
        <f t="shared" si="1199"/>
        <v>0</v>
      </c>
      <c r="DB230" s="47"/>
      <c r="DC230" s="47"/>
      <c r="DD230" s="47"/>
      <c r="DE230" s="47"/>
      <c r="DF230" s="47"/>
      <c r="DG230" s="47"/>
      <c r="DH230" s="47"/>
      <c r="DI230" s="47"/>
      <c r="DJ230" s="47"/>
      <c r="DK230" s="47"/>
      <c r="DL230" s="47"/>
      <c r="DM230" s="65">
        <f t="shared" si="1200"/>
        <v>0</v>
      </c>
      <c r="DN230" s="1"/>
      <c r="DO230" s="130"/>
      <c r="DP230" s="130"/>
      <c r="DQ230" s="131"/>
    </row>
    <row r="231" outlineLevel="2">
      <c r="A231" s="15"/>
      <c r="B231" s="123" t="s">
        <v>217</v>
      </c>
      <c r="C231" s="124"/>
      <c r="D231" s="225">
        <f t="shared" si="1169"/>
        <v>0</v>
      </c>
      <c r="E231" s="225">
        <f t="shared" si="1170"/>
        <v>0</v>
      </c>
      <c r="F231" s="225">
        <f t="shared" si="1171"/>
        <v>43522.286</v>
      </c>
      <c r="G231" s="225">
        <f t="shared" si="1172"/>
        <v>0</v>
      </c>
      <c r="H231" s="175"/>
      <c r="I231" s="176">
        <f t="shared" si="1173"/>
        <v>0</v>
      </c>
      <c r="J231" s="177">
        <f t="shared" si="1174"/>
        <v>0</v>
      </c>
      <c r="K231" s="176">
        <f t="shared" si="1175"/>
        <v>43522.286</v>
      </c>
      <c r="L231" s="177">
        <f t="shared" si="1176"/>
        <v>1</v>
      </c>
      <c r="M231" s="176">
        <f t="shared" si="1177"/>
        <v>0</v>
      </c>
      <c r="N231" s="177">
        <f t="shared" si="1178"/>
        <v>0</v>
      </c>
      <c r="O231" s="175"/>
      <c r="P231" s="47">
        <f t="shared" si="1179"/>
        <v>0</v>
      </c>
      <c r="Q231" s="47">
        <f t="shared" si="1180"/>
        <v>216049.017</v>
      </c>
      <c r="R231" s="47">
        <f t="shared" si="1181"/>
        <v>0</v>
      </c>
      <c r="S231" s="48"/>
      <c r="T231" s="66">
        <f t="shared" si="1182"/>
        <v>216049.017</v>
      </c>
      <c r="U231" s="67">
        <f t="shared" si="1183"/>
        <v>1</v>
      </c>
      <c r="V231" s="66">
        <f t="shared" si="1184"/>
        <v>0</v>
      </c>
      <c r="W231" s="67">
        <f t="shared" si="1185"/>
        <v>0</v>
      </c>
      <c r="X231" s="48"/>
      <c r="Y231" s="47">
        <f t="shared" si="1186"/>
        <v>318054.481</v>
      </c>
      <c r="Z231" s="47">
        <f t="shared" si="1187"/>
        <v>745275.963</v>
      </c>
      <c r="AA231" s="47">
        <f t="shared" si="1188"/>
        <v>961324.98</v>
      </c>
      <c r="AB231" s="95" t="str">
        <f t="shared" si="1189"/>
        <v/>
      </c>
      <c r="AC231" s="125"/>
      <c r="AD231" s="66">
        <f t="shared" si="1190"/>
        <v>643270.499</v>
      </c>
      <c r="AE231" s="67">
        <f t="shared" si="1191"/>
        <v>0.6691498842</v>
      </c>
      <c r="AF231" s="66">
        <f t="shared" si="1192"/>
        <v>-318054.481</v>
      </c>
      <c r="AG231" s="67">
        <f t="shared" si="1193"/>
        <v>0</v>
      </c>
      <c r="AH231" s="126"/>
      <c r="AI231" s="47" t="str">
        <f t="shared" si="1194"/>
        <v/>
      </c>
      <c r="AJ231" s="47" t="str">
        <f t="shared" ref="AJ231:AT231" si="1207">IFERROR(IF(AJ$3="A",CN231,IF(AJ$3="F",DB231,IF(AJ$3="B",BL231,0))),"")</f>
        <v/>
      </c>
      <c r="AK231" s="47" t="str">
        <f t="shared" si="1207"/>
        <v/>
      </c>
      <c r="AL231" s="47" t="str">
        <f t="shared" si="1207"/>
        <v/>
      </c>
      <c r="AM231" s="47" t="str">
        <f t="shared" si="1207"/>
        <v/>
      </c>
      <c r="AN231" s="47" t="str">
        <f t="shared" si="1207"/>
        <v/>
      </c>
      <c r="AO231" s="47" t="str">
        <f t="shared" si="1207"/>
        <v/>
      </c>
      <c r="AP231" s="47" t="str">
        <f t="shared" si="1207"/>
        <v/>
      </c>
      <c r="AQ231" s="47" t="str">
        <f t="shared" si="1207"/>
        <v/>
      </c>
      <c r="AR231" s="47">
        <f t="shared" si="1207"/>
        <v>154625.158</v>
      </c>
      <c r="AS231" s="47">
        <f t="shared" si="1207"/>
        <v>79064.182</v>
      </c>
      <c r="AT231" s="47">
        <f t="shared" si="1207"/>
        <v>84365.141</v>
      </c>
      <c r="AU231" s="65">
        <f t="shared" si="1196"/>
        <v>318054.481</v>
      </c>
      <c r="AV231" s="127"/>
      <c r="AW231" s="47" t="str">
        <f t="shared" ref="AW231:BH231" si="1208">IFERROR(IF(AW$3="A",CM231,IF(AW$3="B",BK231)),0)</f>
        <v/>
      </c>
      <c r="AX231" s="47" t="str">
        <f t="shared" si="1208"/>
        <v/>
      </c>
      <c r="AY231" s="47" t="str">
        <f t="shared" si="1208"/>
        <v/>
      </c>
      <c r="AZ231" s="47" t="str">
        <f t="shared" si="1208"/>
        <v/>
      </c>
      <c r="BA231" s="47" t="str">
        <f t="shared" si="1208"/>
        <v/>
      </c>
      <c r="BB231" s="47" t="str">
        <f t="shared" si="1208"/>
        <v/>
      </c>
      <c r="BC231" s="47">
        <f t="shared" si="1208"/>
        <v>136627.004</v>
      </c>
      <c r="BD231" s="47">
        <f t="shared" si="1208"/>
        <v>161640.841</v>
      </c>
      <c r="BE231" s="47">
        <f t="shared" si="1208"/>
        <v>128953.637</v>
      </c>
      <c r="BF231" s="47">
        <f t="shared" si="1208"/>
        <v>154625.158</v>
      </c>
      <c r="BG231" s="47">
        <f t="shared" si="1208"/>
        <v>79064.182</v>
      </c>
      <c r="BH231" s="47">
        <f t="shared" si="1208"/>
        <v>84365.141</v>
      </c>
      <c r="BI231" s="65">
        <f t="shared" si="1198"/>
        <v>745275.963</v>
      </c>
      <c r="BJ231" s="126"/>
      <c r="BK231" s="128">
        <v>45187.889</v>
      </c>
      <c r="BL231" s="128">
        <v>40391.663</v>
      </c>
      <c r="BM231" s="128">
        <v>26954.956</v>
      </c>
      <c r="BN231" s="128">
        <v>17556.41</v>
      </c>
      <c r="BO231" s="128">
        <v>42435.813</v>
      </c>
      <c r="BP231" s="128">
        <v>43522.286</v>
      </c>
      <c r="BQ231" s="128">
        <v>136627.004</v>
      </c>
      <c r="BR231" s="128">
        <v>161640.841</v>
      </c>
      <c r="BS231" s="128">
        <v>128953.637</v>
      </c>
      <c r="BT231" s="128">
        <v>154625.158</v>
      </c>
      <c r="BU231" s="128">
        <v>79064.182</v>
      </c>
      <c r="BV231" s="128">
        <v>84365.141</v>
      </c>
      <c r="BW231" s="129">
        <v>961324.98</v>
      </c>
      <c r="BX231" s="1"/>
      <c r="BY231" s="47"/>
      <c r="BZ231" s="47"/>
      <c r="CA231" s="47"/>
      <c r="CB231" s="47"/>
      <c r="CC231" s="47"/>
      <c r="CD231" s="47"/>
      <c r="CE231" s="47"/>
      <c r="CF231" s="47"/>
      <c r="CG231" s="47"/>
      <c r="CH231" s="47"/>
      <c r="CI231" s="47"/>
      <c r="CJ231" s="47"/>
      <c r="CK231" s="65"/>
      <c r="CL231" s="47"/>
      <c r="CM231" s="47"/>
      <c r="CN231" s="47"/>
      <c r="CO231" s="47"/>
      <c r="CP231" s="47"/>
      <c r="CQ231" s="47"/>
      <c r="CR231" s="47"/>
      <c r="CS231" s="47"/>
      <c r="CT231" s="47"/>
      <c r="CU231" s="47"/>
      <c r="CV231" s="47"/>
      <c r="CW231" s="47"/>
      <c r="CX231" s="47"/>
      <c r="CY231" s="65"/>
      <c r="CZ231" s="11"/>
      <c r="DA231" s="47">
        <f t="shared" si="1199"/>
        <v>45187.889</v>
      </c>
      <c r="DB231" s="47"/>
      <c r="DC231" s="47"/>
      <c r="DD231" s="47"/>
      <c r="DE231" s="47"/>
      <c r="DF231" s="47"/>
      <c r="DG231" s="47"/>
      <c r="DH231" s="47"/>
      <c r="DI231" s="47"/>
      <c r="DJ231" s="47"/>
      <c r="DK231" s="47"/>
      <c r="DL231" s="47"/>
      <c r="DM231" s="65">
        <f t="shared" si="1200"/>
        <v>45187.889</v>
      </c>
      <c r="DN231" s="1"/>
      <c r="DO231" s="130"/>
      <c r="DP231" s="130"/>
      <c r="DQ231" s="131"/>
    </row>
    <row r="232" outlineLevel="2">
      <c r="A232" s="15"/>
      <c r="B232" s="123" t="s">
        <v>218</v>
      </c>
      <c r="C232" s="124"/>
      <c r="D232" s="47">
        <f t="shared" si="1169"/>
        <v>0</v>
      </c>
      <c r="E232" s="47">
        <f t="shared" si="1170"/>
        <v>0</v>
      </c>
      <c r="F232" s="47">
        <f t="shared" si="1171"/>
        <v>0</v>
      </c>
      <c r="G232" s="47">
        <f t="shared" si="1172"/>
        <v>0</v>
      </c>
      <c r="H232" s="48"/>
      <c r="I232" s="66">
        <f t="shared" si="1173"/>
        <v>0</v>
      </c>
      <c r="J232" s="67">
        <f t="shared" si="1174"/>
        <v>0</v>
      </c>
      <c r="K232" s="66">
        <f t="shared" si="1175"/>
        <v>0</v>
      </c>
      <c r="L232" s="67">
        <f t="shared" si="1176"/>
        <v>0</v>
      </c>
      <c r="M232" s="66">
        <f t="shared" si="1177"/>
        <v>0</v>
      </c>
      <c r="N232" s="67">
        <f t="shared" si="1178"/>
        <v>0</v>
      </c>
      <c r="O232" s="48"/>
      <c r="P232" s="47">
        <f t="shared" si="1179"/>
        <v>0</v>
      </c>
      <c r="Q232" s="47">
        <f t="shared" si="1180"/>
        <v>0</v>
      </c>
      <c r="R232" s="47">
        <f t="shared" si="1181"/>
        <v>0</v>
      </c>
      <c r="S232" s="48"/>
      <c r="T232" s="66">
        <f t="shared" si="1182"/>
        <v>0</v>
      </c>
      <c r="U232" s="67">
        <f t="shared" si="1183"/>
        <v>0</v>
      </c>
      <c r="V232" s="66">
        <f t="shared" si="1184"/>
        <v>0</v>
      </c>
      <c r="W232" s="67">
        <f t="shared" si="1185"/>
        <v>0</v>
      </c>
      <c r="X232" s="48"/>
      <c r="Y232" s="47">
        <f t="shared" si="1186"/>
        <v>0</v>
      </c>
      <c r="Z232" s="47">
        <f t="shared" si="1187"/>
        <v>0</v>
      </c>
      <c r="AA232" s="47">
        <f t="shared" si="1188"/>
        <v>0</v>
      </c>
      <c r="AB232" s="95" t="str">
        <f t="shared" si="1189"/>
        <v/>
      </c>
      <c r="AC232" s="125"/>
      <c r="AD232" s="66">
        <f t="shared" si="1190"/>
        <v>0</v>
      </c>
      <c r="AE232" s="67">
        <f t="shared" si="1191"/>
        <v>0</v>
      </c>
      <c r="AF232" s="66">
        <f t="shared" si="1192"/>
        <v>0</v>
      </c>
      <c r="AG232" s="67">
        <f t="shared" si="1193"/>
        <v>0</v>
      </c>
      <c r="AH232" s="126"/>
      <c r="AI232" s="47" t="str">
        <f t="shared" si="1194"/>
        <v/>
      </c>
      <c r="AJ232" s="47" t="str">
        <f t="shared" ref="AJ232:AT232" si="1209">IFERROR(IF(AJ$3="A",CN232,IF(AJ$3="F",DB232,IF(AJ$3="B",BL232,0))),"")</f>
        <v/>
      </c>
      <c r="AK232" s="47" t="str">
        <f t="shared" si="1209"/>
        <v/>
      </c>
      <c r="AL232" s="47" t="str">
        <f t="shared" si="1209"/>
        <v/>
      </c>
      <c r="AM232" s="47" t="str">
        <f t="shared" si="1209"/>
        <v/>
      </c>
      <c r="AN232" s="47" t="str">
        <f t="shared" si="1209"/>
        <v/>
      </c>
      <c r="AO232" s="47" t="str">
        <f t="shared" si="1209"/>
        <v/>
      </c>
      <c r="AP232" s="47" t="str">
        <f t="shared" si="1209"/>
        <v/>
      </c>
      <c r="AQ232" s="47" t="str">
        <f t="shared" si="1209"/>
        <v/>
      </c>
      <c r="AR232" s="47">
        <f t="shared" si="1209"/>
        <v>0</v>
      </c>
      <c r="AS232" s="47">
        <f t="shared" si="1209"/>
        <v>0</v>
      </c>
      <c r="AT232" s="47">
        <f t="shared" si="1209"/>
        <v>0</v>
      </c>
      <c r="AU232" s="65">
        <f t="shared" si="1196"/>
        <v>0</v>
      </c>
      <c r="AV232" s="127"/>
      <c r="AW232" s="47" t="str">
        <f t="shared" ref="AW232:BH232" si="1210">IFERROR(IF(AW$3="A",CM232,IF(AW$3="B",BK232)),0)</f>
        <v/>
      </c>
      <c r="AX232" s="47" t="str">
        <f t="shared" si="1210"/>
        <v/>
      </c>
      <c r="AY232" s="47" t="str">
        <f t="shared" si="1210"/>
        <v/>
      </c>
      <c r="AZ232" s="47" t="str">
        <f t="shared" si="1210"/>
        <v/>
      </c>
      <c r="BA232" s="47" t="str">
        <f t="shared" si="1210"/>
        <v/>
      </c>
      <c r="BB232" s="47" t="str">
        <f t="shared" si="1210"/>
        <v/>
      </c>
      <c r="BC232" s="47">
        <f t="shared" si="1210"/>
        <v>0</v>
      </c>
      <c r="BD232" s="47">
        <f t="shared" si="1210"/>
        <v>0</v>
      </c>
      <c r="BE232" s="47">
        <f t="shared" si="1210"/>
        <v>0</v>
      </c>
      <c r="BF232" s="47">
        <f t="shared" si="1210"/>
        <v>0</v>
      </c>
      <c r="BG232" s="47">
        <f t="shared" si="1210"/>
        <v>0</v>
      </c>
      <c r="BH232" s="47">
        <f t="shared" si="1210"/>
        <v>0</v>
      </c>
      <c r="BI232" s="65">
        <f t="shared" si="1198"/>
        <v>0</v>
      </c>
      <c r="BJ232" s="126"/>
      <c r="BK232" s="128">
        <v>0.0</v>
      </c>
      <c r="BL232" s="128">
        <v>0.0</v>
      </c>
      <c r="BM232" s="128">
        <v>0.0</v>
      </c>
      <c r="BN232" s="128">
        <v>0.0</v>
      </c>
      <c r="BO232" s="128">
        <v>0.0</v>
      </c>
      <c r="BP232" s="128">
        <v>0.0</v>
      </c>
      <c r="BQ232" s="128">
        <v>0.0</v>
      </c>
      <c r="BR232" s="128">
        <v>0.0</v>
      </c>
      <c r="BS232" s="128">
        <v>0.0</v>
      </c>
      <c r="BT232" s="128">
        <v>0.0</v>
      </c>
      <c r="BU232" s="128">
        <v>0.0</v>
      </c>
      <c r="BV232" s="128">
        <v>0.0</v>
      </c>
      <c r="BW232" s="129">
        <v>0.0</v>
      </c>
      <c r="BX232" s="1"/>
      <c r="BY232" s="47"/>
      <c r="BZ232" s="47"/>
      <c r="CA232" s="47"/>
      <c r="CB232" s="47"/>
      <c r="CC232" s="47"/>
      <c r="CD232" s="47"/>
      <c r="CE232" s="47"/>
      <c r="CF232" s="47"/>
      <c r="CG232" s="47"/>
      <c r="CH232" s="47"/>
      <c r="CI232" s="47"/>
      <c r="CJ232" s="47"/>
      <c r="CK232" s="65"/>
      <c r="CL232" s="47"/>
      <c r="CM232" s="47"/>
      <c r="CN232" s="47"/>
      <c r="CO232" s="47"/>
      <c r="CP232" s="47"/>
      <c r="CQ232" s="47"/>
      <c r="CR232" s="47"/>
      <c r="CS232" s="47"/>
      <c r="CT232" s="47"/>
      <c r="CU232" s="47"/>
      <c r="CV232" s="47"/>
      <c r="CW232" s="47"/>
      <c r="CX232" s="47"/>
      <c r="CY232" s="65"/>
      <c r="CZ232" s="11"/>
      <c r="DA232" s="47">
        <f t="shared" si="1199"/>
        <v>0</v>
      </c>
      <c r="DB232" s="47"/>
      <c r="DC232" s="47"/>
      <c r="DD232" s="47"/>
      <c r="DE232" s="47"/>
      <c r="DF232" s="47"/>
      <c r="DG232" s="47"/>
      <c r="DH232" s="47"/>
      <c r="DI232" s="47"/>
      <c r="DJ232" s="47"/>
      <c r="DK232" s="47"/>
      <c r="DL232" s="47"/>
      <c r="DM232" s="65">
        <f t="shared" si="1200"/>
        <v>0</v>
      </c>
      <c r="DN232" s="1"/>
      <c r="DO232" s="130"/>
      <c r="DP232" s="130"/>
      <c r="DQ232" s="131"/>
    </row>
    <row r="233" outlineLevel="2">
      <c r="A233" s="15"/>
      <c r="B233" s="123" t="s">
        <v>219</v>
      </c>
      <c r="C233" s="124"/>
      <c r="D233" s="47">
        <f t="shared" si="1169"/>
        <v>0</v>
      </c>
      <c r="E233" s="47">
        <f t="shared" si="1170"/>
        <v>0</v>
      </c>
      <c r="F233" s="47">
        <f t="shared" si="1171"/>
        <v>0</v>
      </c>
      <c r="G233" s="47">
        <f t="shared" si="1172"/>
        <v>0</v>
      </c>
      <c r="H233" s="48"/>
      <c r="I233" s="66">
        <f t="shared" si="1173"/>
        <v>0</v>
      </c>
      <c r="J233" s="67">
        <f t="shared" si="1174"/>
        <v>0</v>
      </c>
      <c r="K233" s="66">
        <f t="shared" si="1175"/>
        <v>0</v>
      </c>
      <c r="L233" s="67">
        <f t="shared" si="1176"/>
        <v>0</v>
      </c>
      <c r="M233" s="66">
        <f t="shared" si="1177"/>
        <v>0</v>
      </c>
      <c r="N233" s="67">
        <f t="shared" si="1178"/>
        <v>0</v>
      </c>
      <c r="O233" s="48"/>
      <c r="P233" s="47">
        <f t="shared" si="1179"/>
        <v>0</v>
      </c>
      <c r="Q233" s="47">
        <f t="shared" si="1180"/>
        <v>0</v>
      </c>
      <c r="R233" s="47">
        <f t="shared" si="1181"/>
        <v>0</v>
      </c>
      <c r="S233" s="48"/>
      <c r="T233" s="66">
        <f t="shared" si="1182"/>
        <v>0</v>
      </c>
      <c r="U233" s="67">
        <f t="shared" si="1183"/>
        <v>0</v>
      </c>
      <c r="V233" s="66">
        <f t="shared" si="1184"/>
        <v>0</v>
      </c>
      <c r="W233" s="67">
        <f t="shared" si="1185"/>
        <v>0</v>
      </c>
      <c r="X233" s="48"/>
      <c r="Y233" s="47">
        <f t="shared" si="1186"/>
        <v>0</v>
      </c>
      <c r="Z233" s="47">
        <f t="shared" si="1187"/>
        <v>0</v>
      </c>
      <c r="AA233" s="47">
        <f t="shared" si="1188"/>
        <v>0</v>
      </c>
      <c r="AB233" s="95" t="str">
        <f t="shared" si="1189"/>
        <v/>
      </c>
      <c r="AC233" s="125"/>
      <c r="AD233" s="66">
        <f t="shared" si="1190"/>
        <v>0</v>
      </c>
      <c r="AE233" s="67">
        <f t="shared" si="1191"/>
        <v>0</v>
      </c>
      <c r="AF233" s="66">
        <f t="shared" si="1192"/>
        <v>0</v>
      </c>
      <c r="AG233" s="67">
        <f t="shared" si="1193"/>
        <v>0</v>
      </c>
      <c r="AH233" s="126"/>
      <c r="AI233" s="47" t="str">
        <f t="shared" si="1194"/>
        <v/>
      </c>
      <c r="AJ233" s="47" t="str">
        <f t="shared" ref="AJ233:AT233" si="1211">IFERROR(IF(AJ$3="A",CN233,IF(AJ$3="F",DB233,IF(AJ$3="B",BL233,0))),"")</f>
        <v/>
      </c>
      <c r="AK233" s="47" t="str">
        <f t="shared" si="1211"/>
        <v/>
      </c>
      <c r="AL233" s="47" t="str">
        <f t="shared" si="1211"/>
        <v/>
      </c>
      <c r="AM233" s="47" t="str">
        <f t="shared" si="1211"/>
        <v/>
      </c>
      <c r="AN233" s="47" t="str">
        <f t="shared" si="1211"/>
        <v/>
      </c>
      <c r="AO233" s="47" t="str">
        <f t="shared" si="1211"/>
        <v/>
      </c>
      <c r="AP233" s="47" t="str">
        <f t="shared" si="1211"/>
        <v/>
      </c>
      <c r="AQ233" s="47" t="str">
        <f t="shared" si="1211"/>
        <v/>
      </c>
      <c r="AR233" s="47">
        <f t="shared" si="1211"/>
        <v>0</v>
      </c>
      <c r="AS233" s="47">
        <f t="shared" si="1211"/>
        <v>0</v>
      </c>
      <c r="AT233" s="47">
        <f t="shared" si="1211"/>
        <v>0</v>
      </c>
      <c r="AU233" s="65">
        <f t="shared" si="1196"/>
        <v>0</v>
      </c>
      <c r="AV233" s="127"/>
      <c r="AW233" s="47" t="str">
        <f t="shared" ref="AW233:BH233" si="1212">IFERROR(IF(AW$3="A",CM233,IF(AW$3="B",BK233)),0)</f>
        <v/>
      </c>
      <c r="AX233" s="47" t="str">
        <f t="shared" si="1212"/>
        <v/>
      </c>
      <c r="AY233" s="47" t="str">
        <f t="shared" si="1212"/>
        <v/>
      </c>
      <c r="AZ233" s="47" t="str">
        <f t="shared" si="1212"/>
        <v/>
      </c>
      <c r="BA233" s="47" t="str">
        <f t="shared" si="1212"/>
        <v/>
      </c>
      <c r="BB233" s="47" t="str">
        <f t="shared" si="1212"/>
        <v/>
      </c>
      <c r="BC233" s="47">
        <f t="shared" si="1212"/>
        <v>0</v>
      </c>
      <c r="BD233" s="47">
        <f t="shared" si="1212"/>
        <v>0</v>
      </c>
      <c r="BE233" s="47">
        <f t="shared" si="1212"/>
        <v>0</v>
      </c>
      <c r="BF233" s="47">
        <f t="shared" si="1212"/>
        <v>0</v>
      </c>
      <c r="BG233" s="47">
        <f t="shared" si="1212"/>
        <v>0</v>
      </c>
      <c r="BH233" s="47">
        <f t="shared" si="1212"/>
        <v>0</v>
      </c>
      <c r="BI233" s="65">
        <f t="shared" si="1198"/>
        <v>0</v>
      </c>
      <c r="BJ233" s="126"/>
      <c r="BK233" s="128">
        <v>0.0</v>
      </c>
      <c r="BL233" s="128">
        <v>0.0</v>
      </c>
      <c r="BM233" s="128">
        <v>0.0</v>
      </c>
      <c r="BN233" s="128">
        <v>0.0</v>
      </c>
      <c r="BO233" s="128">
        <v>0.0</v>
      </c>
      <c r="BP233" s="128">
        <v>0.0</v>
      </c>
      <c r="BQ233" s="128">
        <v>0.0</v>
      </c>
      <c r="BR233" s="128">
        <v>0.0</v>
      </c>
      <c r="BS233" s="128">
        <v>0.0</v>
      </c>
      <c r="BT233" s="128">
        <v>0.0</v>
      </c>
      <c r="BU233" s="128">
        <v>0.0</v>
      </c>
      <c r="BV233" s="128">
        <v>0.0</v>
      </c>
      <c r="BW233" s="129">
        <v>0.0</v>
      </c>
      <c r="BX233" s="1"/>
      <c r="BY233" s="47"/>
      <c r="BZ233" s="47"/>
      <c r="CA233" s="47"/>
      <c r="CB233" s="47"/>
      <c r="CC233" s="47"/>
      <c r="CD233" s="47"/>
      <c r="CE233" s="47"/>
      <c r="CF233" s="47"/>
      <c r="CG233" s="47"/>
      <c r="CH233" s="47"/>
      <c r="CI233" s="47"/>
      <c r="CJ233" s="47"/>
      <c r="CK233" s="65"/>
      <c r="CL233" s="47"/>
      <c r="CM233" s="47"/>
      <c r="CN233" s="47"/>
      <c r="CO233" s="47"/>
      <c r="CP233" s="47"/>
      <c r="CQ233" s="47"/>
      <c r="CR233" s="47"/>
      <c r="CS233" s="47"/>
      <c r="CT233" s="47"/>
      <c r="CU233" s="47"/>
      <c r="CV233" s="47"/>
      <c r="CW233" s="47"/>
      <c r="CX233" s="47"/>
      <c r="CY233" s="65"/>
      <c r="CZ233" s="11"/>
      <c r="DA233" s="47">
        <f t="shared" si="1199"/>
        <v>0</v>
      </c>
      <c r="DB233" s="47"/>
      <c r="DC233" s="47"/>
      <c r="DD233" s="47"/>
      <c r="DE233" s="47"/>
      <c r="DF233" s="47"/>
      <c r="DG233" s="47"/>
      <c r="DH233" s="47"/>
      <c r="DI233" s="47"/>
      <c r="DJ233" s="47"/>
      <c r="DK233" s="47"/>
      <c r="DL233" s="47"/>
      <c r="DM233" s="65">
        <f t="shared" si="1200"/>
        <v>0</v>
      </c>
      <c r="DN233" s="1"/>
      <c r="DO233" s="130"/>
      <c r="DP233" s="130"/>
      <c r="DQ233" s="131"/>
    </row>
    <row r="234" outlineLevel="1">
      <c r="A234" s="15"/>
      <c r="B234" s="184" t="s">
        <v>139</v>
      </c>
      <c r="C234" s="185"/>
      <c r="D234" s="157">
        <f t="shared" ref="D234:G234" si="1213">SUM(D226:D233)</f>
        <v>0</v>
      </c>
      <c r="E234" s="157">
        <f t="shared" si="1213"/>
        <v>0</v>
      </c>
      <c r="F234" s="157">
        <f t="shared" si="1213"/>
        <v>53374.5223</v>
      </c>
      <c r="G234" s="157">
        <f t="shared" si="1213"/>
        <v>0</v>
      </c>
      <c r="H234" s="125"/>
      <c r="I234" s="75">
        <f t="shared" si="1173"/>
        <v>0</v>
      </c>
      <c r="J234" s="60">
        <f t="shared" si="1174"/>
        <v>0</v>
      </c>
      <c r="K234" s="75">
        <f t="shared" si="1175"/>
        <v>53374.5223</v>
      </c>
      <c r="L234" s="60">
        <f t="shared" si="1176"/>
        <v>1</v>
      </c>
      <c r="M234" s="75">
        <f t="shared" si="1177"/>
        <v>0</v>
      </c>
      <c r="N234" s="60">
        <f t="shared" si="1178"/>
        <v>0</v>
      </c>
      <c r="O234" s="125"/>
      <c r="P234" s="157">
        <f t="shared" ref="P234:R234" si="1214">SUM(P226:P233)</f>
        <v>0</v>
      </c>
      <c r="Q234" s="157">
        <f t="shared" si="1214"/>
        <v>269019.9589</v>
      </c>
      <c r="R234" s="157">
        <f t="shared" si="1214"/>
        <v>0</v>
      </c>
      <c r="S234" s="125"/>
      <c r="T234" s="75">
        <f t="shared" si="1182"/>
        <v>269019.9589</v>
      </c>
      <c r="U234" s="60">
        <f t="shared" si="1183"/>
        <v>1</v>
      </c>
      <c r="V234" s="75">
        <f t="shared" si="1184"/>
        <v>0</v>
      </c>
      <c r="W234" s="60">
        <f t="shared" si="1185"/>
        <v>0</v>
      </c>
      <c r="X234" s="125"/>
      <c r="Y234" s="157">
        <f t="shared" ref="Y234:AB234" si="1215">SUM(Y226:Y233)</f>
        <v>341055.0516</v>
      </c>
      <c r="Z234" s="157">
        <f t="shared" si="1215"/>
        <v>824754.246</v>
      </c>
      <c r="AA234" s="157">
        <f t="shared" si="1215"/>
        <v>1093774.204</v>
      </c>
      <c r="AB234" s="157">
        <f t="shared" si="1215"/>
        <v>0</v>
      </c>
      <c r="AC234" s="125"/>
      <c r="AD234" s="75">
        <f t="shared" si="1190"/>
        <v>752719.1527</v>
      </c>
      <c r="AE234" s="60">
        <f t="shared" si="1191"/>
        <v>0.6881851389</v>
      </c>
      <c r="AF234" s="75">
        <f t="shared" si="1192"/>
        <v>-341055.0516</v>
      </c>
      <c r="AG234" s="60">
        <f t="shared" si="1193"/>
        <v>0</v>
      </c>
      <c r="AH234" s="134"/>
      <c r="AI234" s="157">
        <f t="shared" ref="AI234:AU234" si="1216">SUM(AI226:AI233)</f>
        <v>0</v>
      </c>
      <c r="AJ234" s="157">
        <f t="shared" si="1216"/>
        <v>0</v>
      </c>
      <c r="AK234" s="157">
        <f t="shared" si="1216"/>
        <v>0</v>
      </c>
      <c r="AL234" s="157">
        <f t="shared" si="1216"/>
        <v>0</v>
      </c>
      <c r="AM234" s="157">
        <f t="shared" si="1216"/>
        <v>0</v>
      </c>
      <c r="AN234" s="157">
        <f t="shared" si="1216"/>
        <v>0</v>
      </c>
      <c r="AO234" s="157">
        <f t="shared" si="1216"/>
        <v>0</v>
      </c>
      <c r="AP234" s="157">
        <f t="shared" si="1216"/>
        <v>0</v>
      </c>
      <c r="AQ234" s="157">
        <f t="shared" si="1216"/>
        <v>0</v>
      </c>
      <c r="AR234" s="157">
        <f t="shared" si="1216"/>
        <v>164208.9517</v>
      </c>
      <c r="AS234" s="157">
        <f t="shared" si="1216"/>
        <v>85191.9074</v>
      </c>
      <c r="AT234" s="157">
        <f t="shared" si="1216"/>
        <v>91654.1925</v>
      </c>
      <c r="AU234" s="157">
        <f t="shared" si="1216"/>
        <v>341055.0516</v>
      </c>
      <c r="AV234" s="127"/>
      <c r="AW234" s="157">
        <f t="shared" ref="AW234:BI234" si="1217">SUM(AW226:AW233)</f>
        <v>0</v>
      </c>
      <c r="AX234" s="157">
        <f t="shared" si="1217"/>
        <v>0</v>
      </c>
      <c r="AY234" s="157">
        <f t="shared" si="1217"/>
        <v>0</v>
      </c>
      <c r="AZ234" s="157">
        <f t="shared" si="1217"/>
        <v>0</v>
      </c>
      <c r="BA234" s="157">
        <f t="shared" si="1217"/>
        <v>0</v>
      </c>
      <c r="BB234" s="157">
        <f t="shared" si="1217"/>
        <v>0</v>
      </c>
      <c r="BC234" s="157">
        <f t="shared" si="1217"/>
        <v>158529.4854</v>
      </c>
      <c r="BD234" s="157">
        <f t="shared" si="1217"/>
        <v>181633.2436</v>
      </c>
      <c r="BE234" s="157">
        <f t="shared" si="1217"/>
        <v>143536.4654</v>
      </c>
      <c r="BF234" s="157">
        <f t="shared" si="1217"/>
        <v>164208.9517</v>
      </c>
      <c r="BG234" s="157">
        <f t="shared" si="1217"/>
        <v>85191.9074</v>
      </c>
      <c r="BH234" s="157">
        <f t="shared" si="1217"/>
        <v>91654.1925</v>
      </c>
      <c r="BI234" s="157">
        <f t="shared" si="1217"/>
        <v>824754.246</v>
      </c>
      <c r="BJ234" s="134"/>
      <c r="BK234" s="158">
        <v>57740.433</v>
      </c>
      <c r="BL234" s="158">
        <v>49480.4696</v>
      </c>
      <c r="BM234" s="158">
        <v>34095.4923</v>
      </c>
      <c r="BN234" s="158">
        <v>24996.9274</v>
      </c>
      <c r="BO234" s="158">
        <v>49332.1139</v>
      </c>
      <c r="BP234" s="158">
        <v>53374.5221</v>
      </c>
      <c r="BQ234" s="158">
        <v>158529.4853</v>
      </c>
      <c r="BR234" s="158">
        <v>181633.2436</v>
      </c>
      <c r="BS234" s="158">
        <v>143536.4653</v>
      </c>
      <c r="BT234" s="158">
        <v>164208.9517</v>
      </c>
      <c r="BU234" s="158">
        <v>85191.9074</v>
      </c>
      <c r="BV234" s="158">
        <v>91654.1924</v>
      </c>
      <c r="BW234" s="158">
        <v>1093774.2042</v>
      </c>
      <c r="BX234" s="1"/>
      <c r="BY234" s="157"/>
      <c r="BZ234" s="157"/>
      <c r="CA234" s="157"/>
      <c r="CB234" s="157"/>
      <c r="CC234" s="157"/>
      <c r="CD234" s="157"/>
      <c r="CE234" s="157"/>
      <c r="CF234" s="157"/>
      <c r="CG234" s="157"/>
      <c r="CH234" s="157"/>
      <c r="CI234" s="157"/>
      <c r="CJ234" s="157"/>
      <c r="CK234" s="157"/>
      <c r="CL234" s="159"/>
      <c r="CM234" s="157"/>
      <c r="CN234" s="157"/>
      <c r="CO234" s="157"/>
      <c r="CP234" s="157"/>
      <c r="CQ234" s="157"/>
      <c r="CR234" s="157"/>
      <c r="CS234" s="157"/>
      <c r="CT234" s="157"/>
      <c r="CU234" s="157"/>
      <c r="CV234" s="157"/>
      <c r="CW234" s="157"/>
      <c r="CX234" s="157"/>
      <c r="CY234" s="157"/>
      <c r="CZ234" s="11"/>
      <c r="DA234" s="157">
        <f>SUM(DA226:DA233)</f>
        <v>57740.4331</v>
      </c>
      <c r="DB234" s="157"/>
      <c r="DC234" s="157"/>
      <c r="DD234" s="157"/>
      <c r="DE234" s="157"/>
      <c r="DF234" s="157"/>
      <c r="DG234" s="157"/>
      <c r="DH234" s="157"/>
      <c r="DI234" s="157"/>
      <c r="DJ234" s="157"/>
      <c r="DK234" s="157"/>
      <c r="DL234" s="157"/>
      <c r="DM234" s="157">
        <f>SUM(DM226:DM233)</f>
        <v>57740.4331</v>
      </c>
      <c r="DN234" s="1"/>
      <c r="DO234" s="160"/>
      <c r="DP234" s="160"/>
      <c r="DQ234" s="131"/>
    </row>
    <row r="235" outlineLevel="1">
      <c r="A235" s="15"/>
      <c r="B235" s="15"/>
      <c r="C235" s="15"/>
      <c r="D235" s="95"/>
      <c r="E235" s="95"/>
      <c r="F235" s="95"/>
      <c r="G235" s="95"/>
      <c r="H235" s="17"/>
      <c r="I235" s="17"/>
      <c r="J235" s="17"/>
      <c r="K235" s="17"/>
      <c r="L235" s="17"/>
      <c r="M235" s="17"/>
      <c r="N235" s="17"/>
      <c r="O235" s="17"/>
      <c r="P235" s="95"/>
      <c r="Q235" s="95"/>
      <c r="R235" s="95"/>
      <c r="S235" s="17"/>
      <c r="T235" s="17"/>
      <c r="U235" s="17"/>
      <c r="V235" s="17"/>
      <c r="W235" s="17"/>
      <c r="X235" s="17"/>
      <c r="Y235" s="95"/>
      <c r="Z235" s="95"/>
      <c r="AA235" s="95"/>
      <c r="AB235" s="95"/>
      <c r="AC235" s="17"/>
      <c r="AD235" s="17"/>
      <c r="AE235" s="17"/>
      <c r="AF235" s="17"/>
      <c r="AG235" s="17"/>
      <c r="AH235" s="117"/>
      <c r="AI235" s="47"/>
      <c r="AJ235" s="47"/>
      <c r="AK235" s="47"/>
      <c r="AL235" s="47"/>
      <c r="AM235" s="47"/>
      <c r="AN235" s="47"/>
      <c r="AO235" s="47"/>
      <c r="AP235" s="47"/>
      <c r="AQ235" s="47"/>
      <c r="AR235" s="47"/>
      <c r="AS235" s="47"/>
      <c r="AT235" s="47"/>
      <c r="AU235" s="161"/>
      <c r="AV235" s="11"/>
      <c r="AW235" s="47"/>
      <c r="AX235" s="47"/>
      <c r="AY235" s="47"/>
      <c r="AZ235" s="47"/>
      <c r="BA235" s="47"/>
      <c r="BB235" s="47"/>
      <c r="BC235" s="47"/>
      <c r="BD235" s="47"/>
      <c r="BE235" s="47"/>
      <c r="BF235" s="47"/>
      <c r="BG235" s="47"/>
      <c r="BH235" s="47"/>
      <c r="BI235" s="161"/>
      <c r="BJ235" s="117"/>
      <c r="BK235" s="47"/>
      <c r="BL235" s="47"/>
      <c r="BM235" s="47"/>
      <c r="BN235" s="47"/>
      <c r="BO235" s="47"/>
      <c r="BP235" s="47"/>
      <c r="BQ235" s="47"/>
      <c r="BR235" s="47"/>
      <c r="BS235" s="47"/>
      <c r="BT235" s="47"/>
      <c r="BU235" s="47"/>
      <c r="BV235" s="47"/>
      <c r="BW235" s="161"/>
      <c r="BX235" s="1"/>
      <c r="BY235" s="246"/>
      <c r="BZ235" s="246"/>
      <c r="CA235" s="246"/>
      <c r="CB235" s="246"/>
      <c r="CC235" s="246"/>
      <c r="CD235" s="246"/>
      <c r="CE235" s="246"/>
      <c r="CF235" s="246"/>
      <c r="CG235" s="246"/>
      <c r="CH235" s="246"/>
      <c r="CI235" s="246"/>
      <c r="CJ235" s="246"/>
      <c r="CK235" s="247"/>
      <c r="CL235" s="47"/>
      <c r="CM235" s="47"/>
      <c r="CN235" s="47"/>
      <c r="CO235" s="47"/>
      <c r="CP235" s="47"/>
      <c r="CQ235" s="47"/>
      <c r="CR235" s="47"/>
      <c r="CS235" s="47"/>
      <c r="CT235" s="47"/>
      <c r="CU235" s="47"/>
      <c r="CV235" s="47"/>
      <c r="CW235" s="47"/>
      <c r="CX235" s="47"/>
      <c r="CY235" s="161"/>
      <c r="CZ235" s="11"/>
      <c r="DA235" s="95"/>
      <c r="DB235" s="95"/>
      <c r="DC235" s="95"/>
      <c r="DD235" s="95"/>
      <c r="DE235" s="95"/>
      <c r="DF235" s="95"/>
      <c r="DG235" s="95"/>
      <c r="DH235" s="95"/>
      <c r="DI235" s="95"/>
      <c r="DJ235" s="95"/>
      <c r="DK235" s="95"/>
      <c r="DL235" s="95"/>
      <c r="DM235" s="162"/>
      <c r="DN235" s="1"/>
      <c r="DO235" s="163"/>
      <c r="DP235" s="163"/>
      <c r="DQ235" s="131"/>
    </row>
    <row r="236" outlineLevel="1">
      <c r="A236" s="15"/>
      <c r="B236" s="152" t="s">
        <v>220</v>
      </c>
      <c r="C236" s="196"/>
      <c r="D236" s="96"/>
      <c r="E236" s="96"/>
      <c r="F236" s="96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  <c r="AC236" s="96"/>
      <c r="AD236" s="96"/>
      <c r="AE236" s="96"/>
      <c r="AF236" s="96"/>
      <c r="AG236" s="96"/>
      <c r="AH236" s="198"/>
      <c r="AI236" s="197"/>
      <c r="AJ236" s="197"/>
      <c r="AK236" s="197"/>
      <c r="AL236" s="197"/>
      <c r="AM236" s="197"/>
      <c r="AN236" s="197"/>
      <c r="AO236" s="197"/>
      <c r="AP236" s="197"/>
      <c r="AQ236" s="197"/>
      <c r="AR236" s="197"/>
      <c r="AS236" s="197"/>
      <c r="AT236" s="197"/>
      <c r="AU236" s="197"/>
      <c r="AV236" s="197"/>
      <c r="AW236" s="197"/>
      <c r="AX236" s="197"/>
      <c r="AY236" s="197"/>
      <c r="AZ236" s="197"/>
      <c r="BA236" s="197"/>
      <c r="BB236" s="197"/>
      <c r="BC236" s="197"/>
      <c r="BD236" s="197"/>
      <c r="BE236" s="197"/>
      <c r="BF236" s="197"/>
      <c r="BG236" s="197"/>
      <c r="BH236" s="197"/>
      <c r="BI236" s="197"/>
      <c r="BJ236" s="198"/>
      <c r="BK236" s="197"/>
      <c r="BL236" s="197"/>
      <c r="BM236" s="197"/>
      <c r="BN236" s="197"/>
      <c r="BO236" s="197"/>
      <c r="BP236" s="197"/>
      <c r="BQ236" s="197"/>
      <c r="BR236" s="197"/>
      <c r="BS236" s="197"/>
      <c r="BT236" s="197"/>
      <c r="BU236" s="197"/>
      <c r="BV236" s="197"/>
      <c r="BW236" s="197"/>
      <c r="BX236" s="124"/>
      <c r="BY236" s="196"/>
      <c r="BZ236" s="196"/>
      <c r="CA236" s="196"/>
      <c r="CB236" s="196"/>
      <c r="CC236" s="196"/>
      <c r="CD236" s="196"/>
      <c r="CE236" s="196"/>
      <c r="CF236" s="196"/>
      <c r="CG236" s="196"/>
      <c r="CH236" s="196"/>
      <c r="CI236" s="196"/>
      <c r="CJ236" s="196"/>
      <c r="CK236" s="196"/>
      <c r="CL236" s="197"/>
      <c r="CM236" s="197"/>
      <c r="CN236" s="197"/>
      <c r="CO236" s="197"/>
      <c r="CP236" s="197"/>
      <c r="CQ236" s="197"/>
      <c r="CR236" s="197"/>
      <c r="CS236" s="197"/>
      <c r="CT236" s="197"/>
      <c r="CU236" s="197"/>
      <c r="CV236" s="197"/>
      <c r="CW236" s="197"/>
      <c r="CX236" s="197"/>
      <c r="CY236" s="197"/>
      <c r="CZ236" s="127"/>
      <c r="DA236" s="96"/>
      <c r="DB236" s="96"/>
      <c r="DC236" s="96"/>
      <c r="DD236" s="96"/>
      <c r="DE236" s="96"/>
      <c r="DF236" s="96"/>
      <c r="DG236" s="96"/>
      <c r="DH236" s="96"/>
      <c r="DI236" s="96"/>
      <c r="DJ236" s="96"/>
      <c r="DK236" s="96"/>
      <c r="DL236" s="96"/>
      <c r="DM236" s="96"/>
      <c r="DN236" s="15"/>
      <c r="DO236" s="248"/>
      <c r="DP236" s="248"/>
      <c r="DQ236" s="246"/>
    </row>
    <row r="237" outlineLevel="1">
      <c r="A237" s="196"/>
      <c r="B237" s="195" t="s">
        <v>221</v>
      </c>
      <c r="C237" s="196"/>
      <c r="D237" s="197">
        <f t="shared" ref="D237:G237" si="1218">IFERROR(D226/D100,0)</f>
        <v>0</v>
      </c>
      <c r="E237" s="197">
        <f t="shared" si="1218"/>
        <v>0</v>
      </c>
      <c r="F237" s="197">
        <f t="shared" si="1218"/>
        <v>0.4500000381</v>
      </c>
      <c r="G237" s="197">
        <f t="shared" si="1218"/>
        <v>0</v>
      </c>
      <c r="H237" s="96"/>
      <c r="I237" s="53">
        <f t="shared" ref="I237:I244" si="1224">E237-D237</f>
        <v>0</v>
      </c>
      <c r="J237" s="67">
        <f t="shared" ref="J237:J244" si="1225">IFERROR(I237/ABS(E237),0)</f>
        <v>0</v>
      </c>
      <c r="K237" s="53">
        <f t="shared" ref="K237:K244" si="1226">F237-D237</f>
        <v>0.4500000381</v>
      </c>
      <c r="L237" s="67">
        <f t="shared" ref="L237:L244" si="1227">IFERROR(K237/ABS(F237),0)</f>
        <v>1</v>
      </c>
      <c r="M237" s="53">
        <f t="shared" ref="M237:M244" si="1228">G237-D237</f>
        <v>0</v>
      </c>
      <c r="N237" s="67">
        <f t="shared" ref="N237:N244" si="1229">IFERROR(M237/ABS(G237),0)</f>
        <v>0</v>
      </c>
      <c r="O237" s="96"/>
      <c r="P237" s="249">
        <f t="shared" ref="P237:R237" si="1219">IFERROR(P226/P100,0)</f>
        <v>0</v>
      </c>
      <c r="Q237" s="197">
        <f t="shared" si="1219"/>
        <v>0.4500000095</v>
      </c>
      <c r="R237" s="197">
        <f t="shared" si="1219"/>
        <v>0</v>
      </c>
      <c r="S237" s="96"/>
      <c r="T237" s="53">
        <f t="shared" ref="T237:T244" si="1231">Q237-P237</f>
        <v>0.4500000095</v>
      </c>
      <c r="U237" s="67">
        <f t="shared" ref="U237:U244" si="1232">IFERROR(T237/ABS(Q237),0)</f>
        <v>1</v>
      </c>
      <c r="V237" s="53">
        <f t="shared" ref="V237:V244" si="1233">R237-P237</f>
        <v>0</v>
      </c>
      <c r="W237" s="67">
        <f t="shared" ref="W237:W244" si="1234">IFERROR(V237/ABS(R237),0)</f>
        <v>0</v>
      </c>
      <c r="X237" s="96"/>
      <c r="Y237" s="197">
        <f t="shared" ref="Y237:AB237" si="1220">IFERROR(Y226/Y100,0)</f>
        <v>0.4500000221</v>
      </c>
      <c r="Z237" s="197">
        <f t="shared" si="1220"/>
        <v>0.4500000144</v>
      </c>
      <c r="AA237" s="197">
        <f t="shared" si="1220"/>
        <v>0.4500000041</v>
      </c>
      <c r="AB237" s="197">
        <f t="shared" si="1220"/>
        <v>0</v>
      </c>
      <c r="AC237" s="96"/>
      <c r="AD237" s="53">
        <f t="shared" ref="AD237:AD244" si="1236">AA237-Y237</f>
        <v>-0.00000001802367344</v>
      </c>
      <c r="AE237" s="67">
        <f t="shared" ref="AE237:AE244" si="1237">IFERROR(AD237/ABS(AA237),0)</f>
        <v>-0.00000004005260729</v>
      </c>
      <c r="AF237" s="53">
        <f t="shared" ref="AF237:AF244" si="1238">AB237-Y237</f>
        <v>-0.4500000221</v>
      </c>
      <c r="AG237" s="67">
        <f t="shared" ref="AG237:AG244" si="1239">IFERROR(AF237/ABS(AB237),0)</f>
        <v>0</v>
      </c>
      <c r="AH237" s="198"/>
      <c r="AI237" s="197">
        <f t="shared" ref="AI237:AU237" si="1221">IFERROR(AI226/AI100,0)</f>
        <v>0</v>
      </c>
      <c r="AJ237" s="197">
        <f t="shared" si="1221"/>
        <v>0</v>
      </c>
      <c r="AK237" s="197">
        <f t="shared" si="1221"/>
        <v>0</v>
      </c>
      <c r="AL237" s="197">
        <f t="shared" si="1221"/>
        <v>0</v>
      </c>
      <c r="AM237" s="197">
        <f t="shared" si="1221"/>
        <v>0</v>
      </c>
      <c r="AN237" s="197">
        <f t="shared" si="1221"/>
        <v>0</v>
      </c>
      <c r="AO237" s="197">
        <f t="shared" si="1221"/>
        <v>0</v>
      </c>
      <c r="AP237" s="197">
        <f t="shared" si="1221"/>
        <v>0</v>
      </c>
      <c r="AQ237" s="197">
        <f t="shared" si="1221"/>
        <v>0</v>
      </c>
      <c r="AR237" s="197">
        <f t="shared" si="1221"/>
        <v>0.45</v>
      </c>
      <c r="AS237" s="197">
        <f t="shared" si="1221"/>
        <v>0.45</v>
      </c>
      <c r="AT237" s="197">
        <f t="shared" si="1221"/>
        <v>0.4500000964</v>
      </c>
      <c r="AU237" s="197">
        <f t="shared" si="1221"/>
        <v>0.4500000221</v>
      </c>
      <c r="AV237" s="197"/>
      <c r="AW237" s="197">
        <f t="shared" ref="AW237:BI237" si="1222">IFERROR(AW226/AW100,0)</f>
        <v>0</v>
      </c>
      <c r="AX237" s="197">
        <f t="shared" si="1222"/>
        <v>0</v>
      </c>
      <c r="AY237" s="197">
        <f t="shared" si="1222"/>
        <v>0</v>
      </c>
      <c r="AZ237" s="197">
        <f t="shared" si="1222"/>
        <v>0</v>
      </c>
      <c r="BA237" s="197">
        <f t="shared" si="1222"/>
        <v>0</v>
      </c>
      <c r="BB237" s="197">
        <f t="shared" si="1222"/>
        <v>0</v>
      </c>
      <c r="BC237" s="197">
        <f t="shared" si="1222"/>
        <v>0.4500000226</v>
      </c>
      <c r="BD237" s="197">
        <f t="shared" si="1222"/>
        <v>0.45</v>
      </c>
      <c r="BE237" s="197">
        <f t="shared" si="1222"/>
        <v>0.45</v>
      </c>
      <c r="BF237" s="197">
        <f t="shared" si="1222"/>
        <v>0.45</v>
      </c>
      <c r="BG237" s="197">
        <f t="shared" si="1222"/>
        <v>0.45</v>
      </c>
      <c r="BH237" s="197">
        <f t="shared" si="1222"/>
        <v>0.4500000964</v>
      </c>
      <c r="BI237" s="197">
        <f t="shared" si="1222"/>
        <v>0.4500000144</v>
      </c>
      <c r="BJ237" s="198"/>
      <c r="BK237" s="201">
        <v>0.45</v>
      </c>
      <c r="BL237" s="201">
        <v>0.45</v>
      </c>
      <c r="BM237" s="201">
        <v>0.45</v>
      </c>
      <c r="BN237" s="201">
        <v>0.45</v>
      </c>
      <c r="BO237" s="201">
        <v>0.45</v>
      </c>
      <c r="BP237" s="201">
        <v>0.45</v>
      </c>
      <c r="BQ237" s="201">
        <v>0.45</v>
      </c>
      <c r="BR237" s="201">
        <v>0.45</v>
      </c>
      <c r="BS237" s="201">
        <v>0.45</v>
      </c>
      <c r="BT237" s="201">
        <v>0.45</v>
      </c>
      <c r="BU237" s="201">
        <v>0.45</v>
      </c>
      <c r="BV237" s="201">
        <v>0.45</v>
      </c>
      <c r="BW237" s="201">
        <v>0.45</v>
      </c>
      <c r="BX237" s="196"/>
      <c r="BY237" s="122" t="str">
        <f>IFERROR(__xludf.DUMMYFUNCTION("IMPORTRANGE(""https://docs.google.com/spreadsheets/d/1V8IaVwMUPxXd6JggEGDDNiTF6LzvvhVQT1xNNukB_5c/edit?usp=sharing"",""SRM!cm240:cy258"")"),"#REF!")</f>
        <v>#REF!</v>
      </c>
      <c r="BZ237" s="197"/>
      <c r="CA237" s="197"/>
      <c r="CB237" s="197"/>
      <c r="CC237" s="197"/>
      <c r="CD237" s="197"/>
      <c r="CE237" s="197"/>
      <c r="CF237" s="197"/>
      <c r="CG237" s="197"/>
      <c r="CH237" s="197"/>
      <c r="CI237" s="197"/>
      <c r="CJ237" s="197"/>
      <c r="CK237" s="197"/>
      <c r="CL237" s="197"/>
      <c r="CM237" s="197"/>
      <c r="CN237" s="197"/>
      <c r="CO237" s="197"/>
      <c r="CP237" s="197"/>
      <c r="CQ237" s="197"/>
      <c r="CR237" s="197"/>
      <c r="CS237" s="197"/>
      <c r="CT237" s="197"/>
      <c r="CU237" s="197"/>
      <c r="CV237" s="197"/>
      <c r="CW237" s="197"/>
      <c r="CX237" s="197"/>
      <c r="CY237" s="197"/>
      <c r="CZ237" s="127"/>
      <c r="DA237" s="197">
        <f t="shared" ref="DA237:DA240" si="1242">IFERROR(DA226/DA100,0)</f>
        <v>0.45</v>
      </c>
      <c r="DB237" s="197"/>
      <c r="DC237" s="197"/>
      <c r="DD237" s="197"/>
      <c r="DE237" s="197"/>
      <c r="DF237" s="197"/>
      <c r="DG237" s="197"/>
      <c r="DH237" s="197"/>
      <c r="DI237" s="197"/>
      <c r="DJ237" s="197"/>
      <c r="DK237" s="197"/>
      <c r="DL237" s="197"/>
      <c r="DM237" s="197">
        <f t="shared" ref="DM237:DM240" si="1243">IFERROR(DM226/DM100,0)</f>
        <v>0.45</v>
      </c>
      <c r="DN237" s="196"/>
      <c r="DO237" s="250"/>
      <c r="DP237" s="250"/>
      <c r="DQ237" s="196"/>
    </row>
    <row r="238" outlineLevel="1">
      <c r="A238" s="196"/>
      <c r="B238" s="195" t="s">
        <v>222</v>
      </c>
      <c r="C238" s="196"/>
      <c r="D238" s="197">
        <f t="shared" ref="D238:G238" si="1223">IFERROR(D227/D101,0)</f>
        <v>0</v>
      </c>
      <c r="E238" s="197">
        <f t="shared" si="1223"/>
        <v>0</v>
      </c>
      <c r="F238" s="197">
        <f t="shared" si="1223"/>
        <v>0.350000051</v>
      </c>
      <c r="G238" s="197">
        <f t="shared" si="1223"/>
        <v>0</v>
      </c>
      <c r="H238" s="96"/>
      <c r="I238" s="53">
        <f t="shared" si="1224"/>
        <v>0</v>
      </c>
      <c r="J238" s="67">
        <f t="shared" si="1225"/>
        <v>0</v>
      </c>
      <c r="K238" s="53">
        <f t="shared" si="1226"/>
        <v>0.350000051</v>
      </c>
      <c r="L238" s="67">
        <f t="shared" si="1227"/>
        <v>1</v>
      </c>
      <c r="M238" s="53">
        <f t="shared" si="1228"/>
        <v>0</v>
      </c>
      <c r="N238" s="67">
        <f t="shared" si="1229"/>
        <v>0</v>
      </c>
      <c r="O238" s="96"/>
      <c r="P238" s="197">
        <f t="shared" ref="P238:R238" si="1230">IFERROR(P227/P101,0)</f>
        <v>0</v>
      </c>
      <c r="Q238" s="197">
        <f t="shared" si="1230"/>
        <v>0.3500000253</v>
      </c>
      <c r="R238" s="197">
        <f t="shared" si="1230"/>
        <v>0</v>
      </c>
      <c r="S238" s="96"/>
      <c r="T238" s="53">
        <f t="shared" si="1231"/>
        <v>0.3500000253</v>
      </c>
      <c r="U238" s="67">
        <f t="shared" si="1232"/>
        <v>1</v>
      </c>
      <c r="V238" s="53">
        <f t="shared" si="1233"/>
        <v>0</v>
      </c>
      <c r="W238" s="67">
        <f t="shared" si="1234"/>
        <v>0</v>
      </c>
      <c r="X238" s="96"/>
      <c r="Y238" s="197">
        <f t="shared" ref="Y238:AB238" si="1235">IFERROR(Y227/Y101,0)</f>
        <v>0.3500000207</v>
      </c>
      <c r="Z238" s="197">
        <f t="shared" si="1235"/>
        <v>0.3500000112</v>
      </c>
      <c r="AA238" s="197">
        <f t="shared" si="1235"/>
        <v>0.3500000034</v>
      </c>
      <c r="AB238" s="197">
        <f t="shared" si="1235"/>
        <v>0</v>
      </c>
      <c r="AC238" s="96"/>
      <c r="AD238" s="53">
        <f t="shared" si="1236"/>
        <v>-0.00000001734256594</v>
      </c>
      <c r="AE238" s="67">
        <f t="shared" si="1237"/>
        <v>-0.00000004955018792</v>
      </c>
      <c r="AF238" s="53">
        <f t="shared" si="1238"/>
        <v>-0.3500000207</v>
      </c>
      <c r="AG238" s="67">
        <f t="shared" si="1239"/>
        <v>0</v>
      </c>
      <c r="AH238" s="198"/>
      <c r="AI238" s="197">
        <f t="shared" ref="AI238:AU238" si="1240">IFERROR(AI227/AI101,0)</f>
        <v>0</v>
      </c>
      <c r="AJ238" s="197">
        <f t="shared" si="1240"/>
        <v>0</v>
      </c>
      <c r="AK238" s="197">
        <f t="shared" si="1240"/>
        <v>0</v>
      </c>
      <c r="AL238" s="197">
        <f t="shared" si="1240"/>
        <v>0</v>
      </c>
      <c r="AM238" s="197">
        <f t="shared" si="1240"/>
        <v>0</v>
      </c>
      <c r="AN238" s="197">
        <f t="shared" si="1240"/>
        <v>0</v>
      </c>
      <c r="AO238" s="197">
        <f t="shared" si="1240"/>
        <v>0</v>
      </c>
      <c r="AP238" s="197">
        <f t="shared" si="1240"/>
        <v>0</v>
      </c>
      <c r="AQ238" s="197">
        <f t="shared" si="1240"/>
        <v>0</v>
      </c>
      <c r="AR238" s="197">
        <f t="shared" si="1240"/>
        <v>0.35</v>
      </c>
      <c r="AS238" s="197">
        <f t="shared" si="1240"/>
        <v>0.3500000377</v>
      </c>
      <c r="AT238" s="197">
        <f t="shared" si="1240"/>
        <v>0.3500000327</v>
      </c>
      <c r="AU238" s="197">
        <f t="shared" si="1240"/>
        <v>0.3500000207</v>
      </c>
      <c r="AV238" s="197"/>
      <c r="AW238" s="197">
        <f t="shared" ref="AW238:BI238" si="1241">IFERROR(AW227/AW101,0)</f>
        <v>0</v>
      </c>
      <c r="AX238" s="197">
        <f t="shared" si="1241"/>
        <v>0</v>
      </c>
      <c r="AY238" s="197">
        <f t="shared" si="1241"/>
        <v>0</v>
      </c>
      <c r="AZ238" s="197">
        <f t="shared" si="1241"/>
        <v>0</v>
      </c>
      <c r="BA238" s="197">
        <f t="shared" si="1241"/>
        <v>0</v>
      </c>
      <c r="BB238" s="197">
        <f t="shared" si="1241"/>
        <v>0</v>
      </c>
      <c r="BC238" s="197">
        <f t="shared" si="1241"/>
        <v>0.35</v>
      </c>
      <c r="BD238" s="197">
        <f t="shared" si="1241"/>
        <v>0.35</v>
      </c>
      <c r="BE238" s="197">
        <f t="shared" si="1241"/>
        <v>0.35</v>
      </c>
      <c r="BF238" s="197">
        <f t="shared" si="1241"/>
        <v>0.35</v>
      </c>
      <c r="BG238" s="197">
        <f t="shared" si="1241"/>
        <v>0.3500000377</v>
      </c>
      <c r="BH238" s="197">
        <f t="shared" si="1241"/>
        <v>0.3500000327</v>
      </c>
      <c r="BI238" s="197">
        <f t="shared" si="1241"/>
        <v>0.3500000112</v>
      </c>
      <c r="BJ238" s="198"/>
      <c r="BK238" s="201">
        <v>0.35</v>
      </c>
      <c r="BL238" s="201">
        <v>0.35</v>
      </c>
      <c r="BM238" s="201">
        <v>0.35</v>
      </c>
      <c r="BN238" s="201">
        <v>0.35</v>
      </c>
      <c r="BO238" s="201">
        <v>0.35</v>
      </c>
      <c r="BP238" s="201">
        <v>0.35</v>
      </c>
      <c r="BQ238" s="201">
        <v>0.35</v>
      </c>
      <c r="BR238" s="201">
        <v>0.35</v>
      </c>
      <c r="BS238" s="201">
        <v>0.35</v>
      </c>
      <c r="BT238" s="201">
        <v>0.35</v>
      </c>
      <c r="BU238" s="201">
        <v>0.35</v>
      </c>
      <c r="BV238" s="201">
        <v>0.35</v>
      </c>
      <c r="BW238" s="201">
        <v>0.35</v>
      </c>
      <c r="BX238" s="195"/>
      <c r="BY238" s="197"/>
      <c r="BZ238" s="197"/>
      <c r="CA238" s="197"/>
      <c r="CB238" s="197"/>
      <c r="CC238" s="197"/>
      <c r="CD238" s="197"/>
      <c r="CE238" s="197"/>
      <c r="CF238" s="197"/>
      <c r="CG238" s="197"/>
      <c r="CH238" s="197"/>
      <c r="CI238" s="197"/>
      <c r="CJ238" s="197"/>
      <c r="CK238" s="197"/>
      <c r="CL238" s="197"/>
      <c r="CM238" s="197"/>
      <c r="CN238" s="197"/>
      <c r="CO238" s="197"/>
      <c r="CP238" s="197"/>
      <c r="CQ238" s="197"/>
      <c r="CR238" s="197"/>
      <c r="CS238" s="197"/>
      <c r="CT238" s="197"/>
      <c r="CU238" s="197"/>
      <c r="CV238" s="197"/>
      <c r="CW238" s="197"/>
      <c r="CX238" s="197"/>
      <c r="CY238" s="197"/>
      <c r="CZ238" s="11"/>
      <c r="DA238" s="197">
        <f t="shared" si="1242"/>
        <v>0.35</v>
      </c>
      <c r="DB238" s="197"/>
      <c r="DC238" s="197"/>
      <c r="DD238" s="197"/>
      <c r="DE238" s="197"/>
      <c r="DF238" s="197"/>
      <c r="DG238" s="197"/>
      <c r="DH238" s="197"/>
      <c r="DI238" s="197"/>
      <c r="DJ238" s="197"/>
      <c r="DK238" s="197"/>
      <c r="DL238" s="197"/>
      <c r="DM238" s="197">
        <f t="shared" si="1243"/>
        <v>0.35</v>
      </c>
      <c r="DN238" s="195"/>
      <c r="DO238" s="206"/>
      <c r="DP238" s="206"/>
      <c r="DQ238" s="205"/>
    </row>
    <row r="239" outlineLevel="2">
      <c r="A239" s="196"/>
      <c r="B239" s="195" t="s">
        <v>223</v>
      </c>
      <c r="C239" s="196"/>
      <c r="D239" s="197">
        <f t="shared" ref="D239:G239" si="1244">IFERROR(D228/D102,0)</f>
        <v>0</v>
      </c>
      <c r="E239" s="197">
        <f t="shared" si="1244"/>
        <v>0</v>
      </c>
      <c r="F239" s="197">
        <f t="shared" si="1244"/>
        <v>0.5900000038</v>
      </c>
      <c r="G239" s="197">
        <f t="shared" si="1244"/>
        <v>0</v>
      </c>
      <c r="H239" s="96"/>
      <c r="I239" s="53">
        <f t="shared" si="1224"/>
        <v>0</v>
      </c>
      <c r="J239" s="67">
        <f t="shared" si="1225"/>
        <v>0</v>
      </c>
      <c r="K239" s="53">
        <f t="shared" si="1226"/>
        <v>0.5900000038</v>
      </c>
      <c r="L239" s="67">
        <f t="shared" si="1227"/>
        <v>1</v>
      </c>
      <c r="M239" s="53">
        <f t="shared" si="1228"/>
        <v>0</v>
      </c>
      <c r="N239" s="67">
        <f t="shared" si="1229"/>
        <v>0</v>
      </c>
      <c r="O239" s="96"/>
      <c r="P239" s="197">
        <f t="shared" ref="P239:R239" si="1245">IFERROR(P228/P102,0)</f>
        <v>0</v>
      </c>
      <c r="Q239" s="197">
        <f t="shared" si="1245"/>
        <v>0.5900000011</v>
      </c>
      <c r="R239" s="197">
        <f t="shared" si="1245"/>
        <v>0</v>
      </c>
      <c r="S239" s="96"/>
      <c r="T239" s="53">
        <f t="shared" si="1231"/>
        <v>0.5900000011</v>
      </c>
      <c r="U239" s="67">
        <f t="shared" si="1232"/>
        <v>1</v>
      </c>
      <c r="V239" s="53">
        <f t="shared" si="1233"/>
        <v>0</v>
      </c>
      <c r="W239" s="67">
        <f t="shared" si="1234"/>
        <v>0</v>
      </c>
      <c r="X239" s="96"/>
      <c r="Y239" s="197">
        <f t="shared" ref="Y239:AB239" si="1246">IFERROR(Y228/Y102,0)</f>
        <v>0.5899999959</v>
      </c>
      <c r="Z239" s="197">
        <f t="shared" si="1246"/>
        <v>0.589999999</v>
      </c>
      <c r="AA239" s="197">
        <f t="shared" si="1246"/>
        <v>0.5899999998</v>
      </c>
      <c r="AB239" s="197">
        <f t="shared" si="1246"/>
        <v>0</v>
      </c>
      <c r="AC239" s="96"/>
      <c r="AD239" s="53">
        <f t="shared" si="1236"/>
        <v>0.000000003866845399</v>
      </c>
      <c r="AE239" s="67">
        <f t="shared" si="1237"/>
        <v>0.000000006553975255</v>
      </c>
      <c r="AF239" s="53">
        <f t="shared" si="1238"/>
        <v>-0.5899999959</v>
      </c>
      <c r="AG239" s="67">
        <f t="shared" si="1239"/>
        <v>0</v>
      </c>
      <c r="AH239" s="198"/>
      <c r="AI239" s="197">
        <f t="shared" ref="AI239:AU239" si="1247">IFERROR(AI228/AI102,0)</f>
        <v>0</v>
      </c>
      <c r="AJ239" s="197">
        <f t="shared" si="1247"/>
        <v>0</v>
      </c>
      <c r="AK239" s="197">
        <f t="shared" si="1247"/>
        <v>0</v>
      </c>
      <c r="AL239" s="197">
        <f t="shared" si="1247"/>
        <v>0</v>
      </c>
      <c r="AM239" s="197">
        <f t="shared" si="1247"/>
        <v>0</v>
      </c>
      <c r="AN239" s="197">
        <f t="shared" si="1247"/>
        <v>0</v>
      </c>
      <c r="AO239" s="197">
        <f t="shared" si="1247"/>
        <v>0</v>
      </c>
      <c r="AP239" s="197">
        <f t="shared" si="1247"/>
        <v>0</v>
      </c>
      <c r="AQ239" s="197">
        <f t="shared" si="1247"/>
        <v>0</v>
      </c>
      <c r="AR239" s="197">
        <f t="shared" si="1247"/>
        <v>0.5899999958</v>
      </c>
      <c r="AS239" s="197">
        <f t="shared" si="1247"/>
        <v>0.5899999955</v>
      </c>
      <c r="AT239" s="197">
        <f t="shared" si="1247"/>
        <v>0.5899999964</v>
      </c>
      <c r="AU239" s="197">
        <f t="shared" si="1247"/>
        <v>0.5899999959</v>
      </c>
      <c r="AV239" s="197"/>
      <c r="AW239" s="197">
        <f t="shared" ref="AW239:BI239" si="1248">IFERROR(AW228/AW102,0)</f>
        <v>0</v>
      </c>
      <c r="AX239" s="197">
        <f t="shared" si="1248"/>
        <v>0</v>
      </c>
      <c r="AY239" s="197">
        <f t="shared" si="1248"/>
        <v>0</v>
      </c>
      <c r="AZ239" s="197">
        <f t="shared" si="1248"/>
        <v>0</v>
      </c>
      <c r="BA239" s="197">
        <f t="shared" si="1248"/>
        <v>0</v>
      </c>
      <c r="BB239" s="197">
        <f t="shared" si="1248"/>
        <v>0</v>
      </c>
      <c r="BC239" s="197">
        <f t="shared" si="1248"/>
        <v>0.5900000004</v>
      </c>
      <c r="BD239" s="197">
        <f t="shared" si="1248"/>
        <v>0.5899999992</v>
      </c>
      <c r="BE239" s="197">
        <f t="shared" si="1248"/>
        <v>0.5900000006</v>
      </c>
      <c r="BF239" s="197">
        <f t="shared" si="1248"/>
        <v>0.5899999958</v>
      </c>
      <c r="BG239" s="197">
        <f t="shared" si="1248"/>
        <v>0.5899999955</v>
      </c>
      <c r="BH239" s="197">
        <f t="shared" si="1248"/>
        <v>0.5899999964</v>
      </c>
      <c r="BI239" s="197">
        <f t="shared" si="1248"/>
        <v>0.589999999</v>
      </c>
      <c r="BJ239" s="198"/>
      <c r="BK239" s="201">
        <v>0.59</v>
      </c>
      <c r="BL239" s="201">
        <v>0.59</v>
      </c>
      <c r="BM239" s="201">
        <v>0.59</v>
      </c>
      <c r="BN239" s="201">
        <v>0.59</v>
      </c>
      <c r="BO239" s="201">
        <v>0.59</v>
      </c>
      <c r="BP239" s="201">
        <v>0.59</v>
      </c>
      <c r="BQ239" s="201">
        <v>0.59</v>
      </c>
      <c r="BR239" s="201">
        <v>0.59</v>
      </c>
      <c r="BS239" s="201">
        <v>0.59</v>
      </c>
      <c r="BT239" s="201">
        <v>0.59</v>
      </c>
      <c r="BU239" s="201">
        <v>0.59</v>
      </c>
      <c r="BV239" s="201">
        <v>0.59</v>
      </c>
      <c r="BW239" s="201">
        <v>0.59</v>
      </c>
      <c r="BX239" s="195"/>
      <c r="BY239" s="197"/>
      <c r="BZ239" s="197"/>
      <c r="CA239" s="197"/>
      <c r="CB239" s="197"/>
      <c r="CC239" s="197"/>
      <c r="CD239" s="197"/>
      <c r="CE239" s="197"/>
      <c r="CF239" s="197"/>
      <c r="CG239" s="197"/>
      <c r="CH239" s="197"/>
      <c r="CI239" s="197"/>
      <c r="CJ239" s="197"/>
      <c r="CK239" s="197"/>
      <c r="CL239" s="197"/>
      <c r="CM239" s="197"/>
      <c r="CN239" s="197"/>
      <c r="CO239" s="197"/>
      <c r="CP239" s="197"/>
      <c r="CQ239" s="197"/>
      <c r="CR239" s="197"/>
      <c r="CS239" s="197"/>
      <c r="CT239" s="197"/>
      <c r="CU239" s="197"/>
      <c r="CV239" s="197"/>
      <c r="CW239" s="197"/>
      <c r="CX239" s="197"/>
      <c r="CY239" s="197"/>
      <c r="CZ239" s="11"/>
      <c r="DA239" s="197">
        <f t="shared" si="1242"/>
        <v>0.5900000006</v>
      </c>
      <c r="DB239" s="197"/>
      <c r="DC239" s="197"/>
      <c r="DD239" s="197"/>
      <c r="DE239" s="197"/>
      <c r="DF239" s="197"/>
      <c r="DG239" s="197"/>
      <c r="DH239" s="197"/>
      <c r="DI239" s="197"/>
      <c r="DJ239" s="197"/>
      <c r="DK239" s="197"/>
      <c r="DL239" s="197"/>
      <c r="DM239" s="197">
        <f t="shared" si="1243"/>
        <v>0.5900000006</v>
      </c>
      <c r="DN239" s="195"/>
      <c r="DO239" s="204"/>
      <c r="DP239" s="204"/>
      <c r="DQ239" s="205"/>
    </row>
    <row r="240" outlineLevel="2">
      <c r="A240" s="196"/>
      <c r="B240" s="195" t="s">
        <v>224</v>
      </c>
      <c r="C240" s="196"/>
      <c r="D240" s="197">
        <f t="shared" ref="D240:G240" si="1249">IFERROR(D229/D103,0)</f>
        <v>0</v>
      </c>
      <c r="E240" s="197">
        <f t="shared" si="1249"/>
        <v>0</v>
      </c>
      <c r="F240" s="197">
        <f t="shared" si="1249"/>
        <v>0.4500000083</v>
      </c>
      <c r="G240" s="197">
        <f t="shared" si="1249"/>
        <v>0</v>
      </c>
      <c r="H240" s="96"/>
      <c r="I240" s="53">
        <f t="shared" si="1224"/>
        <v>0</v>
      </c>
      <c r="J240" s="67">
        <f t="shared" si="1225"/>
        <v>0</v>
      </c>
      <c r="K240" s="53">
        <f t="shared" si="1226"/>
        <v>0.4500000083</v>
      </c>
      <c r="L240" s="67">
        <f t="shared" si="1227"/>
        <v>1</v>
      </c>
      <c r="M240" s="53">
        <f t="shared" si="1228"/>
        <v>0</v>
      </c>
      <c r="N240" s="67">
        <f t="shared" si="1229"/>
        <v>0</v>
      </c>
      <c r="O240" s="96"/>
      <c r="P240" s="197">
        <f t="shared" ref="P240:R240" si="1250">IFERROR(P229/P103,0)</f>
        <v>0</v>
      </c>
      <c r="Q240" s="197">
        <f t="shared" si="1250"/>
        <v>0.4500000072</v>
      </c>
      <c r="R240" s="197">
        <f t="shared" si="1250"/>
        <v>0</v>
      </c>
      <c r="S240" s="96"/>
      <c r="T240" s="53">
        <f t="shared" si="1231"/>
        <v>0.4500000072</v>
      </c>
      <c r="U240" s="67">
        <f t="shared" si="1232"/>
        <v>1</v>
      </c>
      <c r="V240" s="53">
        <f t="shared" si="1233"/>
        <v>0</v>
      </c>
      <c r="W240" s="67">
        <f t="shared" si="1234"/>
        <v>0</v>
      </c>
      <c r="X240" s="96"/>
      <c r="Y240" s="197">
        <f t="shared" ref="Y240:AB240" si="1251">IFERROR(Y229/Y103,0)</f>
        <v>0.4500000039</v>
      </c>
      <c r="Z240" s="197">
        <f t="shared" si="1251"/>
        <v>0.4500000027</v>
      </c>
      <c r="AA240" s="197">
        <f t="shared" si="1251"/>
        <v>0.45</v>
      </c>
      <c r="AB240" s="197">
        <f t="shared" si="1251"/>
        <v>0</v>
      </c>
      <c r="AC240" s="96"/>
      <c r="AD240" s="53">
        <f t="shared" si="1236"/>
        <v>-0.000000003909086776</v>
      </c>
      <c r="AE240" s="67">
        <f t="shared" si="1237"/>
        <v>-0.000000008686859503</v>
      </c>
      <c r="AF240" s="53">
        <f t="shared" si="1238"/>
        <v>-0.4500000039</v>
      </c>
      <c r="AG240" s="67">
        <f t="shared" si="1239"/>
        <v>0</v>
      </c>
      <c r="AH240" s="198"/>
      <c r="AI240" s="197">
        <f t="shared" ref="AI240:AU240" si="1252">IFERROR(AI229/AI103,0)</f>
        <v>0</v>
      </c>
      <c r="AJ240" s="197">
        <f t="shared" si="1252"/>
        <v>0</v>
      </c>
      <c r="AK240" s="197">
        <f t="shared" si="1252"/>
        <v>0</v>
      </c>
      <c r="AL240" s="197">
        <f t="shared" si="1252"/>
        <v>0</v>
      </c>
      <c r="AM240" s="197">
        <f t="shared" si="1252"/>
        <v>0</v>
      </c>
      <c r="AN240" s="197">
        <f t="shared" si="1252"/>
        <v>0</v>
      </c>
      <c r="AO240" s="197">
        <f t="shared" si="1252"/>
        <v>0</v>
      </c>
      <c r="AP240" s="197">
        <f t="shared" si="1252"/>
        <v>0</v>
      </c>
      <c r="AQ240" s="197">
        <f t="shared" si="1252"/>
        <v>0</v>
      </c>
      <c r="AR240" s="197">
        <f t="shared" si="1252"/>
        <v>0.45</v>
      </c>
      <c r="AS240" s="197">
        <f t="shared" si="1252"/>
        <v>0.45</v>
      </c>
      <c r="AT240" s="197">
        <f t="shared" si="1252"/>
        <v>0.4500000137</v>
      </c>
      <c r="AU240" s="197">
        <f t="shared" si="1252"/>
        <v>0.4500000039</v>
      </c>
      <c r="AV240" s="197"/>
      <c r="AW240" s="197">
        <f t="shared" ref="AW240:BI240" si="1253">IFERROR(AW229/AW103,0)</f>
        <v>0</v>
      </c>
      <c r="AX240" s="197">
        <f t="shared" si="1253"/>
        <v>0</v>
      </c>
      <c r="AY240" s="197">
        <f t="shared" si="1253"/>
        <v>0</v>
      </c>
      <c r="AZ240" s="197">
        <f t="shared" si="1253"/>
        <v>0</v>
      </c>
      <c r="BA240" s="197">
        <f t="shared" si="1253"/>
        <v>0</v>
      </c>
      <c r="BB240" s="197">
        <f t="shared" si="1253"/>
        <v>0</v>
      </c>
      <c r="BC240" s="197">
        <f t="shared" si="1253"/>
        <v>0.45</v>
      </c>
      <c r="BD240" s="197">
        <f t="shared" si="1253"/>
        <v>0.45</v>
      </c>
      <c r="BE240" s="197">
        <f t="shared" si="1253"/>
        <v>0.4500000083</v>
      </c>
      <c r="BF240" s="197">
        <f t="shared" si="1253"/>
        <v>0.45</v>
      </c>
      <c r="BG240" s="197">
        <f t="shared" si="1253"/>
        <v>0.45</v>
      </c>
      <c r="BH240" s="197">
        <f t="shared" si="1253"/>
        <v>0.4500000137</v>
      </c>
      <c r="BI240" s="197">
        <f t="shared" si="1253"/>
        <v>0.4500000027</v>
      </c>
      <c r="BJ240" s="198"/>
      <c r="BK240" s="201">
        <v>0.45</v>
      </c>
      <c r="BL240" s="201">
        <v>0.45</v>
      </c>
      <c r="BM240" s="201">
        <v>0.45</v>
      </c>
      <c r="BN240" s="201">
        <v>0.45</v>
      </c>
      <c r="BO240" s="201">
        <v>0.45</v>
      </c>
      <c r="BP240" s="201">
        <v>0.45</v>
      </c>
      <c r="BQ240" s="201">
        <v>0.45</v>
      </c>
      <c r="BR240" s="201">
        <v>0.45</v>
      </c>
      <c r="BS240" s="201">
        <v>0.45</v>
      </c>
      <c r="BT240" s="201">
        <v>0.45</v>
      </c>
      <c r="BU240" s="201">
        <v>0.45</v>
      </c>
      <c r="BV240" s="201">
        <v>0.45</v>
      </c>
      <c r="BW240" s="201">
        <v>0.45</v>
      </c>
      <c r="BX240" s="195"/>
      <c r="BY240" s="197"/>
      <c r="BZ240" s="197"/>
      <c r="CA240" s="197"/>
      <c r="CB240" s="197"/>
      <c r="CC240" s="197"/>
      <c r="CD240" s="197"/>
      <c r="CE240" s="197"/>
      <c r="CF240" s="197"/>
      <c r="CG240" s="197"/>
      <c r="CH240" s="197"/>
      <c r="CI240" s="197"/>
      <c r="CJ240" s="197"/>
      <c r="CK240" s="197"/>
      <c r="CL240" s="197"/>
      <c r="CM240" s="197"/>
      <c r="CN240" s="197"/>
      <c r="CO240" s="197"/>
      <c r="CP240" s="197"/>
      <c r="CQ240" s="197"/>
      <c r="CR240" s="197"/>
      <c r="CS240" s="197"/>
      <c r="CT240" s="197"/>
      <c r="CU240" s="197"/>
      <c r="CV240" s="197"/>
      <c r="CW240" s="197"/>
      <c r="CX240" s="197"/>
      <c r="CY240" s="197"/>
      <c r="CZ240" s="11"/>
      <c r="DA240" s="197">
        <f t="shared" si="1242"/>
        <v>0.4500000087</v>
      </c>
      <c r="DB240" s="197"/>
      <c r="DC240" s="197"/>
      <c r="DD240" s="197"/>
      <c r="DE240" s="197"/>
      <c r="DF240" s="197"/>
      <c r="DG240" s="197"/>
      <c r="DH240" s="197"/>
      <c r="DI240" s="197"/>
      <c r="DJ240" s="197"/>
      <c r="DK240" s="197"/>
      <c r="DL240" s="197"/>
      <c r="DM240" s="197">
        <f t="shared" si="1243"/>
        <v>0.4500000087</v>
      </c>
      <c r="DN240" s="195"/>
      <c r="DO240" s="204"/>
      <c r="DP240" s="204"/>
      <c r="DQ240" s="205"/>
    </row>
    <row r="241" outlineLevel="2">
      <c r="A241" s="196"/>
      <c r="B241" s="195" t="s">
        <v>225</v>
      </c>
      <c r="C241" s="196"/>
      <c r="D241" s="197">
        <f t="shared" ref="D241:G241" si="1254">IFERROR(D230/D107,0)</f>
        <v>0</v>
      </c>
      <c r="E241" s="197">
        <f t="shared" si="1254"/>
        <v>0</v>
      </c>
      <c r="F241" s="197">
        <f t="shared" si="1254"/>
        <v>0</v>
      </c>
      <c r="G241" s="197">
        <f t="shared" si="1254"/>
        <v>0</v>
      </c>
      <c r="H241" s="96"/>
      <c r="I241" s="53">
        <f t="shared" si="1224"/>
        <v>0</v>
      </c>
      <c r="J241" s="67">
        <f t="shared" si="1225"/>
        <v>0</v>
      </c>
      <c r="K241" s="53">
        <f t="shared" si="1226"/>
        <v>0</v>
      </c>
      <c r="L241" s="67">
        <f t="shared" si="1227"/>
        <v>0</v>
      </c>
      <c r="M241" s="53">
        <f t="shared" si="1228"/>
        <v>0</v>
      </c>
      <c r="N241" s="67">
        <f t="shared" si="1229"/>
        <v>0</v>
      </c>
      <c r="O241" s="96"/>
      <c r="P241" s="197">
        <f t="shared" ref="P241:R241" si="1255">IFERROR(P230/P107,0)</f>
        <v>0</v>
      </c>
      <c r="Q241" s="197">
        <f t="shared" si="1255"/>
        <v>0</v>
      </c>
      <c r="R241" s="197">
        <f t="shared" si="1255"/>
        <v>0</v>
      </c>
      <c r="S241" s="96"/>
      <c r="T241" s="53">
        <f t="shared" si="1231"/>
        <v>0</v>
      </c>
      <c r="U241" s="67">
        <f t="shared" si="1232"/>
        <v>0</v>
      </c>
      <c r="V241" s="53">
        <f t="shared" si="1233"/>
        <v>0</v>
      </c>
      <c r="W241" s="67">
        <f t="shared" si="1234"/>
        <v>0</v>
      </c>
      <c r="X241" s="96"/>
      <c r="Y241" s="197">
        <f t="shared" ref="Y241:AB241" si="1256">IFERROR(Y230/Y107,0)</f>
        <v>0</v>
      </c>
      <c r="Z241" s="197">
        <f t="shared" si="1256"/>
        <v>0</v>
      </c>
      <c r="AA241" s="197">
        <f t="shared" si="1256"/>
        <v>0</v>
      </c>
      <c r="AB241" s="197">
        <f t="shared" si="1256"/>
        <v>0</v>
      </c>
      <c r="AC241" s="96"/>
      <c r="AD241" s="53">
        <f t="shared" si="1236"/>
        <v>0</v>
      </c>
      <c r="AE241" s="67">
        <f t="shared" si="1237"/>
        <v>0</v>
      </c>
      <c r="AF241" s="53">
        <f t="shared" si="1238"/>
        <v>0</v>
      </c>
      <c r="AG241" s="67">
        <f t="shared" si="1239"/>
        <v>0</v>
      </c>
      <c r="AH241" s="198"/>
      <c r="AI241" s="197">
        <f t="shared" ref="AI241:AU241" si="1257">IFERROR(AI230/AI107,0)</f>
        <v>0</v>
      </c>
      <c r="AJ241" s="197">
        <f t="shared" si="1257"/>
        <v>0</v>
      </c>
      <c r="AK241" s="197">
        <f t="shared" si="1257"/>
        <v>0</v>
      </c>
      <c r="AL241" s="197">
        <f t="shared" si="1257"/>
        <v>0</v>
      </c>
      <c r="AM241" s="197">
        <f t="shared" si="1257"/>
        <v>0</v>
      </c>
      <c r="AN241" s="197">
        <f t="shared" si="1257"/>
        <v>0</v>
      </c>
      <c r="AO241" s="197">
        <f t="shared" si="1257"/>
        <v>0</v>
      </c>
      <c r="AP241" s="197">
        <f t="shared" si="1257"/>
        <v>0</v>
      </c>
      <c r="AQ241" s="197">
        <f t="shared" si="1257"/>
        <v>0</v>
      </c>
      <c r="AR241" s="197">
        <f t="shared" si="1257"/>
        <v>0</v>
      </c>
      <c r="AS241" s="197">
        <f t="shared" si="1257"/>
        <v>0</v>
      </c>
      <c r="AT241" s="197">
        <f t="shared" si="1257"/>
        <v>0</v>
      </c>
      <c r="AU241" s="197">
        <f t="shared" si="1257"/>
        <v>0</v>
      </c>
      <c r="AV241" s="197"/>
      <c r="AW241" s="197">
        <f t="shared" ref="AW241:BI241" si="1258">IFERROR(AW230/AW107,0)</f>
        <v>0</v>
      </c>
      <c r="AX241" s="197">
        <f t="shared" si="1258"/>
        <v>0</v>
      </c>
      <c r="AY241" s="197">
        <f t="shared" si="1258"/>
        <v>0</v>
      </c>
      <c r="AZ241" s="197">
        <f t="shared" si="1258"/>
        <v>0</v>
      </c>
      <c r="BA241" s="197">
        <f t="shared" si="1258"/>
        <v>0</v>
      </c>
      <c r="BB241" s="197">
        <f t="shared" si="1258"/>
        <v>0</v>
      </c>
      <c r="BC241" s="197">
        <f t="shared" si="1258"/>
        <v>0</v>
      </c>
      <c r="BD241" s="197">
        <f t="shared" si="1258"/>
        <v>0</v>
      </c>
      <c r="BE241" s="197">
        <f t="shared" si="1258"/>
        <v>0</v>
      </c>
      <c r="BF241" s="197">
        <f t="shared" si="1258"/>
        <v>0</v>
      </c>
      <c r="BG241" s="197">
        <f t="shared" si="1258"/>
        <v>0</v>
      </c>
      <c r="BH241" s="197">
        <f t="shared" si="1258"/>
        <v>0</v>
      </c>
      <c r="BI241" s="197">
        <f t="shared" si="1258"/>
        <v>0</v>
      </c>
      <c r="BJ241" s="198"/>
      <c r="BK241" s="201">
        <v>0.0</v>
      </c>
      <c r="BL241" s="201">
        <v>0.0</v>
      </c>
      <c r="BM241" s="201">
        <v>0.0</v>
      </c>
      <c r="BN241" s="201">
        <v>0.0</v>
      </c>
      <c r="BO241" s="201">
        <v>0.0</v>
      </c>
      <c r="BP241" s="201">
        <v>0.0</v>
      </c>
      <c r="BQ241" s="201">
        <v>0.0</v>
      </c>
      <c r="BR241" s="201">
        <v>0.0</v>
      </c>
      <c r="BS241" s="201">
        <v>0.0</v>
      </c>
      <c r="BT241" s="201">
        <v>0.0</v>
      </c>
      <c r="BU241" s="201">
        <v>0.0</v>
      </c>
      <c r="BV241" s="201">
        <v>0.0</v>
      </c>
      <c r="BW241" s="201">
        <v>0.0</v>
      </c>
      <c r="BX241" s="195"/>
      <c r="BY241" s="197"/>
      <c r="BZ241" s="197"/>
      <c r="CA241" s="197"/>
      <c r="CB241" s="197"/>
      <c r="CC241" s="197"/>
      <c r="CD241" s="197"/>
      <c r="CE241" s="197"/>
      <c r="CF241" s="197"/>
      <c r="CG241" s="197"/>
      <c r="CH241" s="197"/>
      <c r="CI241" s="197"/>
      <c r="CJ241" s="197"/>
      <c r="CK241" s="197"/>
      <c r="CL241" s="197"/>
      <c r="CM241" s="197"/>
      <c r="CN241" s="197"/>
      <c r="CO241" s="197"/>
      <c r="CP241" s="197"/>
      <c r="CQ241" s="197"/>
      <c r="CR241" s="197"/>
      <c r="CS241" s="197"/>
      <c r="CT241" s="197"/>
      <c r="CU241" s="197"/>
      <c r="CV241" s="197"/>
      <c r="CW241" s="197"/>
      <c r="CX241" s="197"/>
      <c r="CY241" s="197"/>
      <c r="CZ241" s="11"/>
      <c r="DA241" s="197">
        <f>IFERROR(DA230/DA107,0)</f>
        <v>0</v>
      </c>
      <c r="DB241" s="197"/>
      <c r="DC241" s="197"/>
      <c r="DD241" s="197"/>
      <c r="DE241" s="197"/>
      <c r="DF241" s="197"/>
      <c r="DG241" s="197"/>
      <c r="DH241" s="197"/>
      <c r="DI241" s="197"/>
      <c r="DJ241" s="197"/>
      <c r="DK241" s="197"/>
      <c r="DL241" s="197"/>
      <c r="DM241" s="197">
        <f>IFERROR(DM230/DM107,0)</f>
        <v>0</v>
      </c>
      <c r="DN241" s="195"/>
      <c r="DO241" s="204"/>
      <c r="DP241" s="204"/>
      <c r="DQ241" s="205"/>
    </row>
    <row r="242" outlineLevel="2">
      <c r="A242" s="196"/>
      <c r="B242" s="195" t="s">
        <v>226</v>
      </c>
      <c r="C242" s="196"/>
      <c r="D242" s="197">
        <f t="shared" ref="D242:G242" si="1259">IFERROR(D231/D109,0)</f>
        <v>0</v>
      </c>
      <c r="E242" s="197">
        <f t="shared" si="1259"/>
        <v>0</v>
      </c>
      <c r="F242" s="197">
        <f t="shared" si="1259"/>
        <v>1</v>
      </c>
      <c r="G242" s="197">
        <f t="shared" si="1259"/>
        <v>0</v>
      </c>
      <c r="H242" s="96"/>
      <c r="I242" s="53">
        <f t="shared" si="1224"/>
        <v>0</v>
      </c>
      <c r="J242" s="67">
        <f t="shared" si="1225"/>
        <v>0</v>
      </c>
      <c r="K242" s="53">
        <f t="shared" si="1226"/>
        <v>1</v>
      </c>
      <c r="L242" s="67">
        <f t="shared" si="1227"/>
        <v>1</v>
      </c>
      <c r="M242" s="53">
        <f t="shared" si="1228"/>
        <v>0</v>
      </c>
      <c r="N242" s="67">
        <f t="shared" si="1229"/>
        <v>0</v>
      </c>
      <c r="O242" s="96"/>
      <c r="P242" s="197">
        <f t="shared" ref="P242:R242" si="1260">IFERROR(P231/P109,0)</f>
        <v>0</v>
      </c>
      <c r="Q242" s="197">
        <f t="shared" si="1260"/>
        <v>1</v>
      </c>
      <c r="R242" s="197">
        <f t="shared" si="1260"/>
        <v>0</v>
      </c>
      <c r="S242" s="96"/>
      <c r="T242" s="53">
        <f t="shared" si="1231"/>
        <v>1</v>
      </c>
      <c r="U242" s="67">
        <f t="shared" si="1232"/>
        <v>1</v>
      </c>
      <c r="V242" s="53">
        <f t="shared" si="1233"/>
        <v>0</v>
      </c>
      <c r="W242" s="67">
        <f t="shared" si="1234"/>
        <v>0</v>
      </c>
      <c r="X242" s="96"/>
      <c r="Y242" s="197">
        <f t="shared" ref="Y242:AB242" si="1261">IFERROR(Y231/Y109,0)</f>
        <v>1</v>
      </c>
      <c r="Z242" s="197">
        <f t="shared" si="1261"/>
        <v>1</v>
      </c>
      <c r="AA242" s="197">
        <f t="shared" si="1261"/>
        <v>1</v>
      </c>
      <c r="AB242" s="197">
        <f t="shared" si="1261"/>
        <v>0</v>
      </c>
      <c r="AC242" s="96"/>
      <c r="AD242" s="53">
        <f t="shared" si="1236"/>
        <v>0</v>
      </c>
      <c r="AE242" s="67">
        <f t="shared" si="1237"/>
        <v>0</v>
      </c>
      <c r="AF242" s="53">
        <f t="shared" si="1238"/>
        <v>-1</v>
      </c>
      <c r="AG242" s="67">
        <f t="shared" si="1239"/>
        <v>0</v>
      </c>
      <c r="AH242" s="198"/>
      <c r="AI242" s="197">
        <f t="shared" ref="AI242:AU242" si="1262">IFERROR(AI231/AI109,0)</f>
        <v>0</v>
      </c>
      <c r="AJ242" s="197">
        <f t="shared" si="1262"/>
        <v>0</v>
      </c>
      <c r="AK242" s="197">
        <f t="shared" si="1262"/>
        <v>0</v>
      </c>
      <c r="AL242" s="197">
        <f t="shared" si="1262"/>
        <v>0</v>
      </c>
      <c r="AM242" s="197">
        <f t="shared" si="1262"/>
        <v>0</v>
      </c>
      <c r="AN242" s="197">
        <f t="shared" si="1262"/>
        <v>0</v>
      </c>
      <c r="AO242" s="197">
        <f t="shared" si="1262"/>
        <v>0</v>
      </c>
      <c r="AP242" s="197">
        <f t="shared" si="1262"/>
        <v>0</v>
      </c>
      <c r="AQ242" s="197">
        <f t="shared" si="1262"/>
        <v>0</v>
      </c>
      <c r="AR242" s="197">
        <f t="shared" si="1262"/>
        <v>1</v>
      </c>
      <c r="AS242" s="197">
        <f t="shared" si="1262"/>
        <v>1</v>
      </c>
      <c r="AT242" s="197">
        <f t="shared" si="1262"/>
        <v>1</v>
      </c>
      <c r="AU242" s="197">
        <f t="shared" si="1262"/>
        <v>1</v>
      </c>
      <c r="AV242" s="197"/>
      <c r="AW242" s="197">
        <f t="shared" ref="AW242:BI242" si="1263">IFERROR(AW231/AW109,0)</f>
        <v>0</v>
      </c>
      <c r="AX242" s="197">
        <f t="shared" si="1263"/>
        <v>0</v>
      </c>
      <c r="AY242" s="197">
        <f t="shared" si="1263"/>
        <v>0</v>
      </c>
      <c r="AZ242" s="197">
        <f t="shared" si="1263"/>
        <v>0</v>
      </c>
      <c r="BA242" s="197">
        <f t="shared" si="1263"/>
        <v>0</v>
      </c>
      <c r="BB242" s="197">
        <f t="shared" si="1263"/>
        <v>0</v>
      </c>
      <c r="BC242" s="197">
        <f t="shared" si="1263"/>
        <v>1</v>
      </c>
      <c r="BD242" s="197">
        <f t="shared" si="1263"/>
        <v>1</v>
      </c>
      <c r="BE242" s="197">
        <f t="shared" si="1263"/>
        <v>1</v>
      </c>
      <c r="BF242" s="197">
        <f t="shared" si="1263"/>
        <v>1</v>
      </c>
      <c r="BG242" s="197">
        <f t="shared" si="1263"/>
        <v>1</v>
      </c>
      <c r="BH242" s="197">
        <f t="shared" si="1263"/>
        <v>1</v>
      </c>
      <c r="BI242" s="197">
        <f t="shared" si="1263"/>
        <v>1</v>
      </c>
      <c r="BJ242" s="198"/>
      <c r="BK242" s="201">
        <v>1.0</v>
      </c>
      <c r="BL242" s="201">
        <v>1.0</v>
      </c>
      <c r="BM242" s="201">
        <v>1.0</v>
      </c>
      <c r="BN242" s="201">
        <v>1.0</v>
      </c>
      <c r="BO242" s="201">
        <v>1.0</v>
      </c>
      <c r="BP242" s="201">
        <v>1.0</v>
      </c>
      <c r="BQ242" s="201">
        <v>1.0</v>
      </c>
      <c r="BR242" s="201">
        <v>1.0</v>
      </c>
      <c r="BS242" s="201">
        <v>1.0</v>
      </c>
      <c r="BT242" s="201">
        <v>1.0</v>
      </c>
      <c r="BU242" s="201">
        <v>1.0</v>
      </c>
      <c r="BV242" s="201">
        <v>1.0</v>
      </c>
      <c r="BW242" s="201">
        <v>1.0</v>
      </c>
      <c r="BX242" s="195"/>
      <c r="BY242" s="197"/>
      <c r="BZ242" s="197"/>
      <c r="CA242" s="197"/>
      <c r="CB242" s="197"/>
      <c r="CC242" s="197"/>
      <c r="CD242" s="197"/>
      <c r="CE242" s="197"/>
      <c r="CF242" s="197"/>
      <c r="CG242" s="197"/>
      <c r="CH242" s="197"/>
      <c r="CI242" s="197"/>
      <c r="CJ242" s="197"/>
      <c r="CK242" s="197"/>
      <c r="CL242" s="197"/>
      <c r="CM242" s="197"/>
      <c r="CN242" s="197"/>
      <c r="CO242" s="197"/>
      <c r="CP242" s="197"/>
      <c r="CQ242" s="197"/>
      <c r="CR242" s="197"/>
      <c r="CS242" s="197"/>
      <c r="CT242" s="197"/>
      <c r="CU242" s="197"/>
      <c r="CV242" s="197"/>
      <c r="CW242" s="197"/>
      <c r="CX242" s="197"/>
      <c r="CY242" s="197"/>
      <c r="CZ242" s="11"/>
      <c r="DA242" s="197">
        <f>IFERROR(DA231/DA109,0)</f>
        <v>1</v>
      </c>
      <c r="DB242" s="197"/>
      <c r="DC242" s="197"/>
      <c r="DD242" s="197"/>
      <c r="DE242" s="197"/>
      <c r="DF242" s="197"/>
      <c r="DG242" s="197"/>
      <c r="DH242" s="197"/>
      <c r="DI242" s="197"/>
      <c r="DJ242" s="197"/>
      <c r="DK242" s="197"/>
      <c r="DL242" s="197"/>
      <c r="DM242" s="197">
        <f>IFERROR(DM231/DM109,0)</f>
        <v>1</v>
      </c>
      <c r="DN242" s="195"/>
      <c r="DO242" s="204"/>
      <c r="DP242" s="204"/>
      <c r="DQ242" s="205"/>
    </row>
    <row r="243" outlineLevel="2">
      <c r="A243" s="196"/>
      <c r="B243" s="195" t="s">
        <v>227</v>
      </c>
      <c r="C243" s="196"/>
      <c r="D243" s="197">
        <f t="shared" ref="D243:G243" si="1264">IFERROR(D232/D106,0)</f>
        <v>0</v>
      </c>
      <c r="E243" s="197">
        <f t="shared" si="1264"/>
        <v>0</v>
      </c>
      <c r="F243" s="197">
        <f t="shared" si="1264"/>
        <v>0</v>
      </c>
      <c r="G243" s="197">
        <f t="shared" si="1264"/>
        <v>0</v>
      </c>
      <c r="H243" s="96"/>
      <c r="I243" s="53">
        <f t="shared" si="1224"/>
        <v>0</v>
      </c>
      <c r="J243" s="67">
        <f t="shared" si="1225"/>
        <v>0</v>
      </c>
      <c r="K243" s="53">
        <f t="shared" si="1226"/>
        <v>0</v>
      </c>
      <c r="L243" s="67">
        <f t="shared" si="1227"/>
        <v>0</v>
      </c>
      <c r="M243" s="53">
        <f t="shared" si="1228"/>
        <v>0</v>
      </c>
      <c r="N243" s="67">
        <f t="shared" si="1229"/>
        <v>0</v>
      </c>
      <c r="O243" s="96"/>
      <c r="P243" s="197">
        <f t="shared" ref="P243:R243" si="1265">IFERROR(P232/P106,0)</f>
        <v>0</v>
      </c>
      <c r="Q243" s="197">
        <f t="shared" si="1265"/>
        <v>0</v>
      </c>
      <c r="R243" s="197">
        <f t="shared" si="1265"/>
        <v>0</v>
      </c>
      <c r="S243" s="96"/>
      <c r="T243" s="53">
        <f t="shared" si="1231"/>
        <v>0</v>
      </c>
      <c r="U243" s="67">
        <f t="shared" si="1232"/>
        <v>0</v>
      </c>
      <c r="V243" s="53">
        <f t="shared" si="1233"/>
        <v>0</v>
      </c>
      <c r="W243" s="67">
        <f t="shared" si="1234"/>
        <v>0</v>
      </c>
      <c r="X243" s="96"/>
      <c r="Y243" s="197">
        <f t="shared" ref="Y243:AB243" si="1266">IFERROR(Y232/Y106,0)</f>
        <v>0</v>
      </c>
      <c r="Z243" s="197">
        <f t="shared" si="1266"/>
        <v>0</v>
      </c>
      <c r="AA243" s="197">
        <f t="shared" si="1266"/>
        <v>0</v>
      </c>
      <c r="AB243" s="197">
        <f t="shared" si="1266"/>
        <v>0</v>
      </c>
      <c r="AC243" s="96"/>
      <c r="AD243" s="53">
        <f t="shared" si="1236"/>
        <v>0</v>
      </c>
      <c r="AE243" s="67">
        <f t="shared" si="1237"/>
        <v>0</v>
      </c>
      <c r="AF243" s="53">
        <f t="shared" si="1238"/>
        <v>0</v>
      </c>
      <c r="AG243" s="67">
        <f t="shared" si="1239"/>
        <v>0</v>
      </c>
      <c r="AH243" s="198"/>
      <c r="AI243" s="197">
        <f t="shared" ref="AI243:AU243" si="1267">IFERROR(AI232/AI106,0)</f>
        <v>0</v>
      </c>
      <c r="AJ243" s="197">
        <f t="shared" si="1267"/>
        <v>0</v>
      </c>
      <c r="AK243" s="197">
        <f t="shared" si="1267"/>
        <v>0</v>
      </c>
      <c r="AL243" s="197">
        <f t="shared" si="1267"/>
        <v>0</v>
      </c>
      <c r="AM243" s="197">
        <f t="shared" si="1267"/>
        <v>0</v>
      </c>
      <c r="AN243" s="197">
        <f t="shared" si="1267"/>
        <v>0</v>
      </c>
      <c r="AO243" s="197">
        <f t="shared" si="1267"/>
        <v>0</v>
      </c>
      <c r="AP243" s="197">
        <f t="shared" si="1267"/>
        <v>0</v>
      </c>
      <c r="AQ243" s="197">
        <f t="shared" si="1267"/>
        <v>0</v>
      </c>
      <c r="AR243" s="197">
        <f t="shared" si="1267"/>
        <v>0</v>
      </c>
      <c r="AS243" s="197">
        <f t="shared" si="1267"/>
        <v>0</v>
      </c>
      <c r="AT243" s="197">
        <f t="shared" si="1267"/>
        <v>0</v>
      </c>
      <c r="AU243" s="197">
        <f t="shared" si="1267"/>
        <v>0</v>
      </c>
      <c r="AV243" s="127"/>
      <c r="AW243" s="197">
        <f t="shared" ref="AW243:BI243" si="1268">IFERROR(AW232/AW106,0)</f>
        <v>0</v>
      </c>
      <c r="AX243" s="197">
        <f t="shared" si="1268"/>
        <v>0</v>
      </c>
      <c r="AY243" s="197">
        <f t="shared" si="1268"/>
        <v>0</v>
      </c>
      <c r="AZ243" s="197">
        <f t="shared" si="1268"/>
        <v>0</v>
      </c>
      <c r="BA243" s="197">
        <f t="shared" si="1268"/>
        <v>0</v>
      </c>
      <c r="BB243" s="197">
        <f t="shared" si="1268"/>
        <v>0</v>
      </c>
      <c r="BC243" s="197">
        <f t="shared" si="1268"/>
        <v>0</v>
      </c>
      <c r="BD243" s="197">
        <f t="shared" si="1268"/>
        <v>0</v>
      </c>
      <c r="BE243" s="197">
        <f t="shared" si="1268"/>
        <v>0</v>
      </c>
      <c r="BF243" s="197">
        <f t="shared" si="1268"/>
        <v>0</v>
      </c>
      <c r="BG243" s="197">
        <f t="shared" si="1268"/>
        <v>0</v>
      </c>
      <c r="BH243" s="197">
        <f t="shared" si="1268"/>
        <v>0</v>
      </c>
      <c r="BI243" s="197">
        <f t="shared" si="1268"/>
        <v>0</v>
      </c>
      <c r="BJ243" s="198"/>
      <c r="BK243" s="201">
        <v>0.0</v>
      </c>
      <c r="BL243" s="201">
        <v>0.0</v>
      </c>
      <c r="BM243" s="201">
        <v>0.0</v>
      </c>
      <c r="BN243" s="201">
        <v>0.0</v>
      </c>
      <c r="BO243" s="201">
        <v>0.0</v>
      </c>
      <c r="BP243" s="201">
        <v>0.0</v>
      </c>
      <c r="BQ243" s="201">
        <v>0.0</v>
      </c>
      <c r="BR243" s="201">
        <v>0.0</v>
      </c>
      <c r="BS243" s="201">
        <v>0.0</v>
      </c>
      <c r="BT243" s="201">
        <v>0.0</v>
      </c>
      <c r="BU243" s="201">
        <v>0.0</v>
      </c>
      <c r="BV243" s="201">
        <v>0.0</v>
      </c>
      <c r="BW243" s="201">
        <v>0.0</v>
      </c>
      <c r="BX243" s="195"/>
      <c r="BY243" s="197"/>
      <c r="BZ243" s="197"/>
      <c r="CA243" s="197"/>
      <c r="CB243" s="197"/>
      <c r="CC243" s="197"/>
      <c r="CD243" s="197"/>
      <c r="CE243" s="197"/>
      <c r="CF243" s="197"/>
      <c r="CG243" s="197"/>
      <c r="CH243" s="197"/>
      <c r="CI243" s="197"/>
      <c r="CJ243" s="197"/>
      <c r="CK243" s="197"/>
      <c r="CL243" s="197"/>
      <c r="CM243" s="197"/>
      <c r="CN243" s="197"/>
      <c r="CO243" s="197"/>
      <c r="CP243" s="197"/>
      <c r="CQ243" s="197"/>
      <c r="CR243" s="197"/>
      <c r="CS243" s="197"/>
      <c r="CT243" s="197"/>
      <c r="CU243" s="197"/>
      <c r="CV243" s="197"/>
      <c r="CW243" s="197"/>
      <c r="CX243" s="197"/>
      <c r="CY243" s="197"/>
      <c r="CZ243" s="11"/>
      <c r="DA243" s="197">
        <f>IFERROR(DA232/DA106,0)</f>
        <v>0</v>
      </c>
      <c r="DB243" s="197"/>
      <c r="DC243" s="197"/>
      <c r="DD243" s="197"/>
      <c r="DE243" s="197"/>
      <c r="DF243" s="197"/>
      <c r="DG243" s="197"/>
      <c r="DH243" s="197"/>
      <c r="DI243" s="197"/>
      <c r="DJ243" s="197"/>
      <c r="DK243" s="197"/>
      <c r="DL243" s="197"/>
      <c r="DM243" s="197">
        <f>IFERROR(DM232/DM106,0)</f>
        <v>0</v>
      </c>
      <c r="DN243" s="195"/>
      <c r="DO243" s="204"/>
      <c r="DP243" s="204"/>
      <c r="DQ243" s="205"/>
    </row>
    <row r="244" outlineLevel="2">
      <c r="A244" s="196"/>
      <c r="B244" s="195" t="s">
        <v>228</v>
      </c>
      <c r="C244" s="196"/>
      <c r="D244" s="197">
        <f t="shared" ref="D244:G244" si="1269">IFERROR(D233/D108,0)</f>
        <v>0</v>
      </c>
      <c r="E244" s="197">
        <f t="shared" si="1269"/>
        <v>0</v>
      </c>
      <c r="F244" s="197">
        <f t="shared" si="1269"/>
        <v>0</v>
      </c>
      <c r="G244" s="197">
        <f t="shared" si="1269"/>
        <v>0</v>
      </c>
      <c r="H244" s="96"/>
      <c r="I244" s="53">
        <f t="shared" si="1224"/>
        <v>0</v>
      </c>
      <c r="J244" s="67">
        <f t="shared" si="1225"/>
        <v>0</v>
      </c>
      <c r="K244" s="53">
        <f t="shared" si="1226"/>
        <v>0</v>
      </c>
      <c r="L244" s="67">
        <f t="shared" si="1227"/>
        <v>0</v>
      </c>
      <c r="M244" s="53">
        <f t="shared" si="1228"/>
        <v>0</v>
      </c>
      <c r="N244" s="67">
        <f t="shared" si="1229"/>
        <v>0</v>
      </c>
      <c r="O244" s="96"/>
      <c r="P244" s="197">
        <f t="shared" ref="P244:R244" si="1270">IFERROR(P233/P108,0)</f>
        <v>0</v>
      </c>
      <c r="Q244" s="197">
        <f t="shared" si="1270"/>
        <v>0</v>
      </c>
      <c r="R244" s="197">
        <f t="shared" si="1270"/>
        <v>0</v>
      </c>
      <c r="S244" s="96"/>
      <c r="T244" s="53">
        <f t="shared" si="1231"/>
        <v>0</v>
      </c>
      <c r="U244" s="67">
        <f t="shared" si="1232"/>
        <v>0</v>
      </c>
      <c r="V244" s="53">
        <f t="shared" si="1233"/>
        <v>0</v>
      </c>
      <c r="W244" s="67">
        <f t="shared" si="1234"/>
        <v>0</v>
      </c>
      <c r="X244" s="96"/>
      <c r="Y244" s="197">
        <f t="shared" ref="Y244:AB244" si="1271">IFERROR(Y233/Y108,0)</f>
        <v>0</v>
      </c>
      <c r="Z244" s="197">
        <f t="shared" si="1271"/>
        <v>0</v>
      </c>
      <c r="AA244" s="197">
        <f t="shared" si="1271"/>
        <v>0</v>
      </c>
      <c r="AB244" s="197">
        <f t="shared" si="1271"/>
        <v>0</v>
      </c>
      <c r="AC244" s="96"/>
      <c r="AD244" s="53">
        <f t="shared" si="1236"/>
        <v>0</v>
      </c>
      <c r="AE244" s="67">
        <f t="shared" si="1237"/>
        <v>0</v>
      </c>
      <c r="AF244" s="53">
        <f t="shared" si="1238"/>
        <v>0</v>
      </c>
      <c r="AG244" s="67">
        <f t="shared" si="1239"/>
        <v>0</v>
      </c>
      <c r="AH244" s="198"/>
      <c r="AI244" s="197">
        <f t="shared" ref="AI244:AU244" si="1272">IFERROR(AI233/AI108,0)</f>
        <v>0</v>
      </c>
      <c r="AJ244" s="197">
        <f t="shared" si="1272"/>
        <v>0</v>
      </c>
      <c r="AK244" s="197">
        <f t="shared" si="1272"/>
        <v>0</v>
      </c>
      <c r="AL244" s="197">
        <f t="shared" si="1272"/>
        <v>0</v>
      </c>
      <c r="AM244" s="197">
        <f t="shared" si="1272"/>
        <v>0</v>
      </c>
      <c r="AN244" s="197">
        <f t="shared" si="1272"/>
        <v>0</v>
      </c>
      <c r="AO244" s="197">
        <f t="shared" si="1272"/>
        <v>0</v>
      </c>
      <c r="AP244" s="197">
        <f t="shared" si="1272"/>
        <v>0</v>
      </c>
      <c r="AQ244" s="197">
        <f t="shared" si="1272"/>
        <v>0</v>
      </c>
      <c r="AR244" s="197">
        <f t="shared" si="1272"/>
        <v>0</v>
      </c>
      <c r="AS244" s="197">
        <f t="shared" si="1272"/>
        <v>0</v>
      </c>
      <c r="AT244" s="197">
        <f t="shared" si="1272"/>
        <v>0</v>
      </c>
      <c r="AU244" s="197">
        <f t="shared" si="1272"/>
        <v>0</v>
      </c>
      <c r="AV244" s="127"/>
      <c r="AW244" s="197">
        <f t="shared" ref="AW244:BI244" si="1273">IFERROR(AW233/AW108,0)</f>
        <v>0</v>
      </c>
      <c r="AX244" s="197">
        <f t="shared" si="1273"/>
        <v>0</v>
      </c>
      <c r="AY244" s="197">
        <f t="shared" si="1273"/>
        <v>0</v>
      </c>
      <c r="AZ244" s="197">
        <f t="shared" si="1273"/>
        <v>0</v>
      </c>
      <c r="BA244" s="197">
        <f t="shared" si="1273"/>
        <v>0</v>
      </c>
      <c r="BB244" s="197">
        <f t="shared" si="1273"/>
        <v>0</v>
      </c>
      <c r="BC244" s="197">
        <f t="shared" si="1273"/>
        <v>0</v>
      </c>
      <c r="BD244" s="197">
        <f t="shared" si="1273"/>
        <v>0</v>
      </c>
      <c r="BE244" s="197">
        <f t="shared" si="1273"/>
        <v>0</v>
      </c>
      <c r="BF244" s="197">
        <f t="shared" si="1273"/>
        <v>0</v>
      </c>
      <c r="BG244" s="197">
        <f t="shared" si="1273"/>
        <v>0</v>
      </c>
      <c r="BH244" s="197">
        <f t="shared" si="1273"/>
        <v>0</v>
      </c>
      <c r="BI244" s="197">
        <f t="shared" si="1273"/>
        <v>0</v>
      </c>
      <c r="BJ244" s="198"/>
      <c r="BK244" s="201">
        <v>0.0</v>
      </c>
      <c r="BL244" s="201">
        <v>0.0</v>
      </c>
      <c r="BM244" s="201">
        <v>0.0</v>
      </c>
      <c r="BN244" s="201">
        <v>0.0</v>
      </c>
      <c r="BO244" s="201">
        <v>0.0</v>
      </c>
      <c r="BP244" s="201">
        <v>0.0</v>
      </c>
      <c r="BQ244" s="201">
        <v>0.0</v>
      </c>
      <c r="BR244" s="201">
        <v>0.0</v>
      </c>
      <c r="BS244" s="201">
        <v>0.0</v>
      </c>
      <c r="BT244" s="201">
        <v>0.0</v>
      </c>
      <c r="BU244" s="201">
        <v>0.0</v>
      </c>
      <c r="BV244" s="201">
        <v>0.0</v>
      </c>
      <c r="BW244" s="201">
        <v>0.0</v>
      </c>
      <c r="BX244" s="195"/>
      <c r="BY244" s="197"/>
      <c r="BZ244" s="197"/>
      <c r="CA244" s="197"/>
      <c r="CB244" s="197"/>
      <c r="CC244" s="197"/>
      <c r="CD244" s="197"/>
      <c r="CE244" s="197"/>
      <c r="CF244" s="197"/>
      <c r="CG244" s="197"/>
      <c r="CH244" s="197"/>
      <c r="CI244" s="197"/>
      <c r="CJ244" s="197"/>
      <c r="CK244" s="197"/>
      <c r="CL244" s="197"/>
      <c r="CM244" s="197"/>
      <c r="CN244" s="197"/>
      <c r="CO244" s="197"/>
      <c r="CP244" s="197"/>
      <c r="CQ244" s="197"/>
      <c r="CR244" s="197"/>
      <c r="CS244" s="197"/>
      <c r="CT244" s="197"/>
      <c r="CU244" s="197"/>
      <c r="CV244" s="197"/>
      <c r="CW244" s="197"/>
      <c r="CX244" s="197"/>
      <c r="CY244" s="197"/>
      <c r="CZ244" s="11"/>
      <c r="DA244" s="197">
        <f>IFERROR(DA233/DA108,0)</f>
        <v>0</v>
      </c>
      <c r="DB244" s="197"/>
      <c r="DC244" s="197"/>
      <c r="DD244" s="197"/>
      <c r="DE244" s="197"/>
      <c r="DF244" s="197"/>
      <c r="DG244" s="197"/>
      <c r="DH244" s="197"/>
      <c r="DI244" s="197"/>
      <c r="DJ244" s="197"/>
      <c r="DK244" s="197"/>
      <c r="DL244" s="197"/>
      <c r="DM244" s="197">
        <f>IFERROR(DM233/DM108,0)</f>
        <v>0</v>
      </c>
      <c r="DN244" s="195"/>
      <c r="DO244" s="204"/>
      <c r="DP244" s="204"/>
      <c r="DQ244" s="205"/>
    </row>
    <row r="245" outlineLevel="2">
      <c r="A245" s="15"/>
      <c r="B245" s="124"/>
      <c r="C245" s="15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  <c r="AC245" s="96"/>
      <c r="AD245" s="96"/>
      <c r="AE245" s="96"/>
      <c r="AF245" s="96"/>
      <c r="AG245" s="96"/>
      <c r="AH245" s="117"/>
      <c r="AI245" s="197"/>
      <c r="AJ245" s="197"/>
      <c r="AK245" s="197"/>
      <c r="AL245" s="197"/>
      <c r="AM245" s="197"/>
      <c r="AN245" s="197"/>
      <c r="AO245" s="197"/>
      <c r="AP245" s="197"/>
      <c r="AQ245" s="197"/>
      <c r="AR245" s="197"/>
      <c r="AS245" s="197"/>
      <c r="AT245" s="197"/>
      <c r="AU245" s="197"/>
      <c r="AV245" s="197"/>
      <c r="AW245" s="197"/>
      <c r="AX245" s="197"/>
      <c r="AY245" s="197"/>
      <c r="AZ245" s="197"/>
      <c r="BA245" s="197"/>
      <c r="BB245" s="197"/>
      <c r="BC245" s="197"/>
      <c r="BD245" s="197"/>
      <c r="BE245" s="197"/>
      <c r="BF245" s="197"/>
      <c r="BG245" s="197"/>
      <c r="BH245" s="197"/>
      <c r="BI245" s="197"/>
      <c r="BJ245" s="117"/>
      <c r="BK245" s="197"/>
      <c r="BL245" s="197"/>
      <c r="BM245" s="197"/>
      <c r="BN245" s="197"/>
      <c r="BO245" s="197"/>
      <c r="BP245" s="197"/>
      <c r="BQ245" s="197"/>
      <c r="BR245" s="197"/>
      <c r="BS245" s="197"/>
      <c r="BT245" s="197"/>
      <c r="BU245" s="197"/>
      <c r="BV245" s="197"/>
      <c r="BW245" s="197"/>
      <c r="BX245" s="1"/>
      <c r="BY245" s="196"/>
      <c r="BZ245" s="196"/>
      <c r="CA245" s="196"/>
      <c r="CB245" s="196"/>
      <c r="CC245" s="196"/>
      <c r="CD245" s="196"/>
      <c r="CE245" s="196"/>
      <c r="CF245" s="196"/>
      <c r="CG245" s="196"/>
      <c r="CH245" s="196"/>
      <c r="CI245" s="196"/>
      <c r="CJ245" s="196"/>
      <c r="CK245" s="196"/>
      <c r="CL245" s="197"/>
      <c r="CM245" s="197"/>
      <c r="CN245" s="197"/>
      <c r="CO245" s="197"/>
      <c r="CP245" s="197"/>
      <c r="CQ245" s="197"/>
      <c r="CR245" s="197"/>
      <c r="CS245" s="197"/>
      <c r="CT245" s="197"/>
      <c r="CU245" s="197"/>
      <c r="CV245" s="197"/>
      <c r="CW245" s="197"/>
      <c r="CX245" s="197"/>
      <c r="CY245" s="197"/>
      <c r="CZ245" s="11"/>
      <c r="DA245" s="96"/>
      <c r="DB245" s="96"/>
      <c r="DC245" s="96"/>
      <c r="DD245" s="96"/>
      <c r="DE245" s="96"/>
      <c r="DF245" s="96"/>
      <c r="DG245" s="96"/>
      <c r="DH245" s="96"/>
      <c r="DI245" s="96"/>
      <c r="DJ245" s="96"/>
      <c r="DK245" s="96"/>
      <c r="DL245" s="96"/>
      <c r="DM245" s="96"/>
      <c r="DN245" s="1"/>
      <c r="DO245" s="204"/>
      <c r="DP245" s="204"/>
      <c r="DQ245" s="131"/>
    </row>
    <row r="246" outlineLevel="2">
      <c r="A246" s="15"/>
      <c r="B246" s="152" t="s">
        <v>229</v>
      </c>
      <c r="C246" s="124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  <c r="AC246" s="96"/>
      <c r="AD246" s="96"/>
      <c r="AE246" s="96"/>
      <c r="AF246" s="96"/>
      <c r="AG246" s="96"/>
      <c r="AH246" s="126"/>
      <c r="AI246" s="197"/>
      <c r="AJ246" s="197"/>
      <c r="AK246" s="197"/>
      <c r="AL246" s="197"/>
      <c r="AM246" s="197"/>
      <c r="AN246" s="197"/>
      <c r="AO246" s="197"/>
      <c r="AP246" s="197"/>
      <c r="AQ246" s="197"/>
      <c r="AR246" s="197"/>
      <c r="AS246" s="197"/>
      <c r="AT246" s="197"/>
      <c r="AU246" s="197"/>
      <c r="AV246" s="197"/>
      <c r="AW246" s="197"/>
      <c r="AX246" s="197"/>
      <c r="AY246" s="197"/>
      <c r="AZ246" s="197"/>
      <c r="BA246" s="197"/>
      <c r="BB246" s="197"/>
      <c r="BC246" s="197"/>
      <c r="BD246" s="197"/>
      <c r="BE246" s="197"/>
      <c r="BF246" s="197"/>
      <c r="BG246" s="197"/>
      <c r="BH246" s="197"/>
      <c r="BI246" s="197"/>
      <c r="BJ246" s="126"/>
      <c r="BK246" s="197"/>
      <c r="BL246" s="197"/>
      <c r="BM246" s="197"/>
      <c r="BN246" s="197"/>
      <c r="BO246" s="197"/>
      <c r="BP246" s="197"/>
      <c r="BQ246" s="197"/>
      <c r="BR246" s="197"/>
      <c r="BS246" s="197"/>
      <c r="BT246" s="197"/>
      <c r="BU246" s="197"/>
      <c r="BV246" s="197"/>
      <c r="BW246" s="197"/>
      <c r="BX246" s="1"/>
      <c r="BY246" s="196"/>
      <c r="BZ246" s="196"/>
      <c r="CA246" s="196"/>
      <c r="CB246" s="196"/>
      <c r="CC246" s="196"/>
      <c r="CD246" s="196"/>
      <c r="CE246" s="196"/>
      <c r="CF246" s="196"/>
      <c r="CG246" s="196"/>
      <c r="CH246" s="196"/>
      <c r="CI246" s="196"/>
      <c r="CJ246" s="196"/>
      <c r="CK246" s="196"/>
      <c r="CL246" s="197"/>
      <c r="CM246" s="197"/>
      <c r="CN246" s="197"/>
      <c r="CO246" s="197"/>
      <c r="CP246" s="197"/>
      <c r="CQ246" s="197"/>
      <c r="CR246" s="197"/>
      <c r="CS246" s="197"/>
      <c r="CT246" s="197"/>
      <c r="CU246" s="197"/>
      <c r="CV246" s="197"/>
      <c r="CW246" s="197"/>
      <c r="CX246" s="197"/>
      <c r="CY246" s="197"/>
      <c r="CZ246" s="11"/>
      <c r="DA246" s="96"/>
      <c r="DB246" s="96"/>
      <c r="DC246" s="96"/>
      <c r="DD246" s="96"/>
      <c r="DE246" s="96"/>
      <c r="DF246" s="96"/>
      <c r="DG246" s="96"/>
      <c r="DH246" s="96"/>
      <c r="DI246" s="96"/>
      <c r="DJ246" s="96"/>
      <c r="DK246" s="96"/>
      <c r="DL246" s="96"/>
      <c r="DM246" s="96"/>
      <c r="DN246" s="1"/>
      <c r="DO246" s="204"/>
      <c r="DP246" s="204"/>
      <c r="DQ246" s="131"/>
    </row>
    <row r="247" outlineLevel="2">
      <c r="A247" s="124"/>
      <c r="B247" s="123" t="s">
        <v>230</v>
      </c>
      <c r="C247" s="124"/>
      <c r="D247" s="47">
        <f t="shared" ref="D247:G247" si="1274">iferror(D100-D226,0)</f>
        <v>0</v>
      </c>
      <c r="E247" s="47">
        <f t="shared" si="1274"/>
        <v>0</v>
      </c>
      <c r="F247" s="47">
        <f t="shared" si="1274"/>
        <v>721.6786</v>
      </c>
      <c r="G247" s="47">
        <f t="shared" si="1274"/>
        <v>0</v>
      </c>
      <c r="H247" s="96"/>
      <c r="I247" s="66">
        <f t="shared" ref="I247:I255" si="1280">D247-E247</f>
        <v>0</v>
      </c>
      <c r="J247" s="60">
        <f t="shared" ref="J247:J255" si="1281">IFERROR(I247/ABS(E247),0)</f>
        <v>0</v>
      </c>
      <c r="K247" s="66">
        <f t="shared" ref="K247:K255" si="1282">D247-F247</f>
        <v>-721.6786</v>
      </c>
      <c r="L247" s="60">
        <f t="shared" ref="L247:L255" si="1283">IFERROR(K247/ABS(F247),0)</f>
        <v>-1</v>
      </c>
      <c r="M247" s="66">
        <f t="shared" ref="M247:M255" si="1284">D247-G247</f>
        <v>0</v>
      </c>
      <c r="N247" s="60">
        <f t="shared" ref="N247:N255" si="1285">IFERROR(M247/ABS(G247),0)</f>
        <v>0</v>
      </c>
      <c r="O247" s="96"/>
      <c r="P247" s="47">
        <f t="shared" ref="P247:R247" si="1275">iferror(P100-P226,0)</f>
        <v>0</v>
      </c>
      <c r="Q247" s="47">
        <f t="shared" si="1275"/>
        <v>2898.099</v>
      </c>
      <c r="R247" s="47">
        <f t="shared" si="1275"/>
        <v>0</v>
      </c>
      <c r="S247" s="96"/>
      <c r="T247" s="66">
        <f t="shared" ref="T247:T255" si="1287">P247-Q247</f>
        <v>-2898.099</v>
      </c>
      <c r="U247" s="60">
        <f t="shared" ref="U247:U255" si="1288">IFERROR(T247/ABS(Q247),0)</f>
        <v>-1</v>
      </c>
      <c r="V247" s="66">
        <f t="shared" ref="V247:V255" si="1289">P247-R247</f>
        <v>0</v>
      </c>
      <c r="W247" s="60">
        <f t="shared" ref="W247:W255" si="1290">IFERROR(V247/ABS(R247),0)</f>
        <v>0</v>
      </c>
      <c r="X247" s="96"/>
      <c r="Y247" s="47">
        <f t="shared" ref="Y247:AB247" si="1276">iferror(Y100-Y226,0)</f>
        <v>1243.3316</v>
      </c>
      <c r="Z247" s="47">
        <f t="shared" si="1276"/>
        <v>3818.5245</v>
      </c>
      <c r="AA247" s="47">
        <f t="shared" si="1276"/>
        <v>6716.6236</v>
      </c>
      <c r="AB247" s="47">
        <f t="shared" si="1276"/>
        <v>0</v>
      </c>
      <c r="AC247" s="96"/>
      <c r="AD247" s="66">
        <f t="shared" ref="AD247:AD255" si="1292">Y247-AA247</f>
        <v>-5473.292</v>
      </c>
      <c r="AE247" s="60">
        <f t="shared" ref="AE247:AE255" si="1293">IFERROR(AD247/ABS(AA247),0)</f>
        <v>-0.8148874086</v>
      </c>
      <c r="AF247" s="66">
        <f t="shared" ref="AF247:AF255" si="1294">Y247-AB247</f>
        <v>1243.3316</v>
      </c>
      <c r="AG247" s="60">
        <f t="shared" ref="AG247:AG255" si="1295">IFERROR(AF247/ABS(AB247),0)</f>
        <v>0</v>
      </c>
      <c r="AH247" s="126"/>
      <c r="AI247" s="47">
        <f t="shared" ref="AI247:AT247" si="1277">IFERROR(AI100-AI226,0)</f>
        <v>0</v>
      </c>
      <c r="AJ247" s="47">
        <f t="shared" si="1277"/>
        <v>0</v>
      </c>
      <c r="AK247" s="47">
        <f t="shared" si="1277"/>
        <v>0</v>
      </c>
      <c r="AL247" s="47">
        <f t="shared" si="1277"/>
        <v>0</v>
      </c>
      <c r="AM247" s="47">
        <f t="shared" si="1277"/>
        <v>0</v>
      </c>
      <c r="AN247" s="47">
        <f t="shared" si="1277"/>
        <v>0</v>
      </c>
      <c r="AO247" s="47">
        <f t="shared" si="1277"/>
        <v>0</v>
      </c>
      <c r="AP247" s="47">
        <f t="shared" si="1277"/>
        <v>0</v>
      </c>
      <c r="AQ247" s="47">
        <f t="shared" si="1277"/>
        <v>0</v>
      </c>
      <c r="AR247" s="47">
        <f t="shared" si="1277"/>
        <v>629.9568</v>
      </c>
      <c r="AS247" s="47">
        <f t="shared" si="1277"/>
        <v>327.965</v>
      </c>
      <c r="AT247" s="47">
        <f t="shared" si="1277"/>
        <v>285.4098</v>
      </c>
      <c r="AU247" s="65">
        <f t="shared" ref="AU247:AU254" si="1297">SUM(AI247:AT247)</f>
        <v>1243.3316</v>
      </c>
      <c r="AV247" s="197"/>
      <c r="AW247" s="47">
        <f t="shared" ref="AW247:BH247" si="1278">IFERROR(AW100-AW226,0)</f>
        <v>0</v>
      </c>
      <c r="AX247" s="47">
        <f t="shared" si="1278"/>
        <v>0</v>
      </c>
      <c r="AY247" s="47">
        <f t="shared" si="1278"/>
        <v>0</v>
      </c>
      <c r="AZ247" s="47">
        <f t="shared" si="1278"/>
        <v>0</v>
      </c>
      <c r="BA247" s="47">
        <f t="shared" si="1278"/>
        <v>0</v>
      </c>
      <c r="BB247" s="47">
        <f t="shared" si="1278"/>
        <v>0</v>
      </c>
      <c r="BC247" s="47">
        <f t="shared" si="1278"/>
        <v>1219.2306</v>
      </c>
      <c r="BD247" s="47">
        <f t="shared" si="1278"/>
        <v>721.3756</v>
      </c>
      <c r="BE247" s="47">
        <f t="shared" si="1278"/>
        <v>634.5867</v>
      </c>
      <c r="BF247" s="47">
        <f t="shared" si="1278"/>
        <v>629.9568</v>
      </c>
      <c r="BG247" s="47">
        <f t="shared" si="1278"/>
        <v>327.965</v>
      </c>
      <c r="BH247" s="47">
        <f t="shared" si="1278"/>
        <v>285.4098</v>
      </c>
      <c r="BI247" s="65">
        <f t="shared" ref="BI247:BI254" si="1299">SUM(AW247:BH247)</f>
        <v>3818.5245</v>
      </c>
      <c r="BJ247" s="126"/>
      <c r="BK247" s="128">
        <v>337.5053</v>
      </c>
      <c r="BL247" s="128">
        <v>338.1147</v>
      </c>
      <c r="BM247" s="128">
        <v>244.497</v>
      </c>
      <c r="BN247" s="128">
        <v>535.8034</v>
      </c>
      <c r="BO247" s="128">
        <v>720.5</v>
      </c>
      <c r="BP247" s="128">
        <v>721.6787</v>
      </c>
      <c r="BQ247" s="128">
        <v>1219.2307</v>
      </c>
      <c r="BR247" s="128">
        <v>721.3756</v>
      </c>
      <c r="BS247" s="128">
        <v>634.5867</v>
      </c>
      <c r="BT247" s="128">
        <v>629.9568</v>
      </c>
      <c r="BU247" s="128">
        <v>327.965</v>
      </c>
      <c r="BV247" s="128">
        <v>285.4099</v>
      </c>
      <c r="BW247" s="129">
        <v>6716.6237</v>
      </c>
      <c r="BX247" s="1"/>
      <c r="BY247" s="47"/>
      <c r="BZ247" s="47"/>
      <c r="CA247" s="47"/>
      <c r="CB247" s="47"/>
      <c r="CC247" s="47"/>
      <c r="CD247" s="47"/>
      <c r="CE247" s="47"/>
      <c r="CF247" s="47"/>
      <c r="CG247" s="47"/>
      <c r="CH247" s="47"/>
      <c r="CI247" s="47"/>
      <c r="CJ247" s="47"/>
      <c r="CK247" s="65"/>
      <c r="CL247" s="197"/>
      <c r="CM247" s="47"/>
      <c r="CN247" s="47"/>
      <c r="CO247" s="47"/>
      <c r="CP247" s="47"/>
      <c r="CQ247" s="47"/>
      <c r="CR247" s="47"/>
      <c r="CS247" s="47"/>
      <c r="CT247" s="47"/>
      <c r="CU247" s="47"/>
      <c r="CV247" s="47"/>
      <c r="CW247" s="47"/>
      <c r="CX247" s="47"/>
      <c r="CY247" s="65"/>
      <c r="CZ247" s="11"/>
      <c r="DA247" s="47">
        <f t="shared" ref="DA247:DA250" si="1300">IFERROR(DA100-DA226,0)</f>
        <v>337.5053</v>
      </c>
      <c r="DB247" s="47"/>
      <c r="DC247" s="47"/>
      <c r="DD247" s="47"/>
      <c r="DE247" s="47"/>
      <c r="DF247" s="47"/>
      <c r="DG247" s="47"/>
      <c r="DH247" s="47"/>
      <c r="DI247" s="47"/>
      <c r="DJ247" s="47"/>
      <c r="DK247" s="47"/>
      <c r="DL247" s="47"/>
      <c r="DM247" s="65">
        <f t="shared" ref="DM247:DM254" si="1301">SUM(DA247:DL247)</f>
        <v>337.5053</v>
      </c>
      <c r="DN247" s="1"/>
      <c r="DO247" s="204"/>
      <c r="DP247" s="204"/>
      <c r="DQ247" s="131"/>
    </row>
    <row r="248">
      <c r="A248" s="124"/>
      <c r="B248" s="123" t="s">
        <v>231</v>
      </c>
      <c r="C248" s="196"/>
      <c r="D248" s="47">
        <f t="shared" ref="D248:G248" si="1279">iferror(D101-D227,0)</f>
        <v>0</v>
      </c>
      <c r="E248" s="47">
        <f t="shared" si="1279"/>
        <v>0</v>
      </c>
      <c r="F248" s="47">
        <f t="shared" si="1279"/>
        <v>637.3711</v>
      </c>
      <c r="G248" s="47">
        <f t="shared" si="1279"/>
        <v>0</v>
      </c>
      <c r="H248" s="96"/>
      <c r="I248" s="66">
        <f t="shared" si="1280"/>
        <v>0</v>
      </c>
      <c r="J248" s="60">
        <f t="shared" si="1281"/>
        <v>0</v>
      </c>
      <c r="K248" s="66">
        <f t="shared" si="1282"/>
        <v>-637.3711</v>
      </c>
      <c r="L248" s="60">
        <f t="shared" si="1283"/>
        <v>-1</v>
      </c>
      <c r="M248" s="66">
        <f t="shared" si="1284"/>
        <v>0</v>
      </c>
      <c r="N248" s="60">
        <f t="shared" si="1285"/>
        <v>0</v>
      </c>
      <c r="O248" s="96"/>
      <c r="P248" s="47">
        <f t="shared" ref="P248:R248" si="1286">iferror(P101-P227,0)</f>
        <v>0</v>
      </c>
      <c r="Q248" s="47">
        <f t="shared" si="1286"/>
        <v>3850.1455</v>
      </c>
      <c r="R248" s="47">
        <f t="shared" si="1286"/>
        <v>0</v>
      </c>
      <c r="S248" s="96"/>
      <c r="T248" s="66">
        <f t="shared" si="1287"/>
        <v>-3850.1455</v>
      </c>
      <c r="U248" s="60">
        <f t="shared" si="1288"/>
        <v>-1</v>
      </c>
      <c r="V248" s="66">
        <f t="shared" si="1289"/>
        <v>0</v>
      </c>
      <c r="W248" s="60">
        <f t="shared" si="1290"/>
        <v>0</v>
      </c>
      <c r="X248" s="96"/>
      <c r="Y248" s="47">
        <f t="shared" ref="Y248:AB248" si="1291">iferror(Y101-Y227,0)</f>
        <v>3138.6757</v>
      </c>
      <c r="Z248" s="47">
        <f t="shared" si="1291"/>
        <v>5802.9243</v>
      </c>
      <c r="AA248" s="47">
        <f t="shared" si="1291"/>
        <v>9653.07</v>
      </c>
      <c r="AB248" s="47">
        <f t="shared" si="1291"/>
        <v>0</v>
      </c>
      <c r="AC248" s="96"/>
      <c r="AD248" s="66">
        <f t="shared" si="1292"/>
        <v>-6514.3943</v>
      </c>
      <c r="AE248" s="60">
        <f t="shared" si="1293"/>
        <v>-0.674852073</v>
      </c>
      <c r="AF248" s="66">
        <f t="shared" si="1294"/>
        <v>3138.6757</v>
      </c>
      <c r="AG248" s="60">
        <f t="shared" si="1295"/>
        <v>0</v>
      </c>
      <c r="AH248" s="126"/>
      <c r="AI248" s="47">
        <f t="shared" ref="AI248:AT248" si="1296">IFERROR(AI101-AI227,0)</f>
        <v>0</v>
      </c>
      <c r="AJ248" s="47">
        <f t="shared" si="1296"/>
        <v>0</v>
      </c>
      <c r="AK248" s="47">
        <f t="shared" si="1296"/>
        <v>0</v>
      </c>
      <c r="AL248" s="47">
        <f t="shared" si="1296"/>
        <v>0</v>
      </c>
      <c r="AM248" s="47">
        <f t="shared" si="1296"/>
        <v>0</v>
      </c>
      <c r="AN248" s="47">
        <f t="shared" si="1296"/>
        <v>0</v>
      </c>
      <c r="AO248" s="47">
        <f t="shared" si="1296"/>
        <v>0</v>
      </c>
      <c r="AP248" s="47">
        <f t="shared" si="1296"/>
        <v>0</v>
      </c>
      <c r="AQ248" s="47">
        <f t="shared" si="1296"/>
        <v>0</v>
      </c>
      <c r="AR248" s="47">
        <f t="shared" si="1296"/>
        <v>1283.4198</v>
      </c>
      <c r="AS248" s="47">
        <f t="shared" si="1296"/>
        <v>861.0725</v>
      </c>
      <c r="AT248" s="47">
        <f t="shared" si="1296"/>
        <v>994.1834</v>
      </c>
      <c r="AU248" s="65">
        <f t="shared" si="1297"/>
        <v>3138.6757</v>
      </c>
      <c r="AV248" s="197"/>
      <c r="AW248" s="47">
        <f t="shared" ref="AW248:BH248" si="1298">IFERROR(AW101-AW227,0)</f>
        <v>0</v>
      </c>
      <c r="AX248" s="47">
        <f t="shared" si="1298"/>
        <v>0</v>
      </c>
      <c r="AY248" s="47">
        <f t="shared" si="1298"/>
        <v>0</v>
      </c>
      <c r="AZ248" s="47">
        <f t="shared" si="1298"/>
        <v>0</v>
      </c>
      <c r="BA248" s="47">
        <f t="shared" si="1298"/>
        <v>0</v>
      </c>
      <c r="BB248" s="47">
        <f t="shared" si="1298"/>
        <v>0</v>
      </c>
      <c r="BC248" s="47">
        <f t="shared" si="1298"/>
        <v>730.6494</v>
      </c>
      <c r="BD248" s="47">
        <f t="shared" si="1298"/>
        <v>731.1135</v>
      </c>
      <c r="BE248" s="47">
        <f t="shared" si="1298"/>
        <v>1202.4857</v>
      </c>
      <c r="BF248" s="47">
        <f t="shared" si="1298"/>
        <v>1283.4198</v>
      </c>
      <c r="BG248" s="47">
        <f t="shared" si="1298"/>
        <v>861.0725</v>
      </c>
      <c r="BH248" s="47">
        <f t="shared" si="1298"/>
        <v>994.1834</v>
      </c>
      <c r="BI248" s="65">
        <f t="shared" si="1299"/>
        <v>5802.9243</v>
      </c>
      <c r="BJ248" s="126"/>
      <c r="BK248" s="128">
        <v>744.5347</v>
      </c>
      <c r="BL248" s="128">
        <v>614.0602</v>
      </c>
      <c r="BM248" s="128">
        <v>560.0199</v>
      </c>
      <c r="BN248" s="128">
        <v>783.2598</v>
      </c>
      <c r="BO248" s="128">
        <v>510.9</v>
      </c>
      <c r="BP248" s="128">
        <v>637.3712</v>
      </c>
      <c r="BQ248" s="128">
        <v>730.6494</v>
      </c>
      <c r="BR248" s="128">
        <v>731.1135</v>
      </c>
      <c r="BS248" s="128">
        <v>1202.4857</v>
      </c>
      <c r="BT248" s="128">
        <v>1283.4198</v>
      </c>
      <c r="BU248" s="128">
        <v>861.0726</v>
      </c>
      <c r="BV248" s="128">
        <v>994.1835</v>
      </c>
      <c r="BW248" s="129">
        <v>9653.0701</v>
      </c>
      <c r="BX248" s="1"/>
      <c r="BY248" s="47"/>
      <c r="BZ248" s="47"/>
      <c r="CA248" s="47"/>
      <c r="CB248" s="47"/>
      <c r="CC248" s="47"/>
      <c r="CD248" s="47"/>
      <c r="CE248" s="47"/>
      <c r="CF248" s="47"/>
      <c r="CG248" s="47"/>
      <c r="CH248" s="47"/>
      <c r="CI248" s="47"/>
      <c r="CJ248" s="47"/>
      <c r="CK248" s="65"/>
      <c r="CL248" s="47"/>
      <c r="CM248" s="47"/>
      <c r="CN248" s="47"/>
      <c r="CO248" s="47"/>
      <c r="CP248" s="47"/>
      <c r="CQ248" s="47"/>
      <c r="CR248" s="47"/>
      <c r="CS248" s="47"/>
      <c r="CT248" s="47"/>
      <c r="CU248" s="47"/>
      <c r="CV248" s="47"/>
      <c r="CW248" s="47"/>
      <c r="CX248" s="47"/>
      <c r="CY248" s="65"/>
      <c r="CZ248" s="11"/>
      <c r="DA248" s="47">
        <f t="shared" si="1300"/>
        <v>744.5347</v>
      </c>
      <c r="DB248" s="47"/>
      <c r="DC248" s="47"/>
      <c r="DD248" s="47"/>
      <c r="DE248" s="47"/>
      <c r="DF248" s="47"/>
      <c r="DG248" s="47"/>
      <c r="DH248" s="47"/>
      <c r="DI248" s="47"/>
      <c r="DJ248" s="47"/>
      <c r="DK248" s="47"/>
      <c r="DL248" s="47"/>
      <c r="DM248" s="65">
        <f t="shared" si="1301"/>
        <v>744.5347</v>
      </c>
      <c r="DN248" s="1"/>
      <c r="DO248" s="206"/>
      <c r="DP248" s="206"/>
      <c r="DQ248" s="131"/>
    </row>
    <row r="249">
      <c r="A249" s="124"/>
      <c r="B249" s="123" t="s">
        <v>232</v>
      </c>
      <c r="C249" s="196"/>
      <c r="D249" s="47">
        <f t="shared" ref="D249:G249" si="1302">iferror(D102-D228,0)</f>
        <v>0</v>
      </c>
      <c r="E249" s="47">
        <f t="shared" si="1302"/>
        <v>0</v>
      </c>
      <c r="F249" s="47">
        <f t="shared" si="1302"/>
        <v>4306.7277</v>
      </c>
      <c r="G249" s="47">
        <f t="shared" si="1302"/>
        <v>0</v>
      </c>
      <c r="H249" s="96"/>
      <c r="I249" s="66">
        <f t="shared" si="1280"/>
        <v>0</v>
      </c>
      <c r="J249" s="60">
        <f t="shared" si="1281"/>
        <v>0</v>
      </c>
      <c r="K249" s="66">
        <f t="shared" si="1282"/>
        <v>-4306.7277</v>
      </c>
      <c r="L249" s="60">
        <f t="shared" si="1283"/>
        <v>-1</v>
      </c>
      <c r="M249" s="66">
        <f t="shared" si="1284"/>
        <v>0</v>
      </c>
      <c r="N249" s="60">
        <f t="shared" si="1285"/>
        <v>0</v>
      </c>
      <c r="O249" s="96"/>
      <c r="P249" s="47">
        <f t="shared" ref="P249:R249" si="1303">iferror(P102-P228,0)</f>
        <v>0</v>
      </c>
      <c r="Q249" s="47">
        <f t="shared" si="1303"/>
        <v>25050.8265</v>
      </c>
      <c r="R249" s="47">
        <f t="shared" si="1303"/>
        <v>0</v>
      </c>
      <c r="S249" s="96"/>
      <c r="T249" s="66">
        <f t="shared" si="1287"/>
        <v>-25050.8265</v>
      </c>
      <c r="U249" s="60">
        <f t="shared" si="1288"/>
        <v>-1</v>
      </c>
      <c r="V249" s="66">
        <f t="shared" si="1289"/>
        <v>0</v>
      </c>
      <c r="W249" s="60">
        <f t="shared" si="1290"/>
        <v>0</v>
      </c>
      <c r="X249" s="96"/>
      <c r="Y249" s="47">
        <f t="shared" ref="Y249:AB249" si="1304">iferror(Y102-Y228,0)</f>
        <v>10102.2771</v>
      </c>
      <c r="Z249" s="47">
        <f t="shared" si="1304"/>
        <v>39130.1254</v>
      </c>
      <c r="AA249" s="47">
        <f t="shared" si="1304"/>
        <v>64180.9519</v>
      </c>
      <c r="AB249" s="47">
        <f t="shared" si="1304"/>
        <v>0</v>
      </c>
      <c r="AC249" s="96"/>
      <c r="AD249" s="66">
        <f t="shared" si="1292"/>
        <v>-54078.6748</v>
      </c>
      <c r="AE249" s="60">
        <f t="shared" si="1293"/>
        <v>-0.8425969575</v>
      </c>
      <c r="AF249" s="66">
        <f t="shared" si="1294"/>
        <v>10102.2771</v>
      </c>
      <c r="AG249" s="60">
        <f t="shared" si="1295"/>
        <v>0</v>
      </c>
      <c r="AH249" s="126"/>
      <c r="AI249" s="47">
        <f t="shared" ref="AI249:AT249" si="1305">IFERROR(AI102-AI228,0)</f>
        <v>0</v>
      </c>
      <c r="AJ249" s="47">
        <f t="shared" si="1305"/>
        <v>0</v>
      </c>
      <c r="AK249" s="47">
        <f t="shared" si="1305"/>
        <v>0</v>
      </c>
      <c r="AL249" s="47">
        <f t="shared" si="1305"/>
        <v>0</v>
      </c>
      <c r="AM249" s="47">
        <f t="shared" si="1305"/>
        <v>0</v>
      </c>
      <c r="AN249" s="47">
        <f t="shared" si="1305"/>
        <v>0</v>
      </c>
      <c r="AO249" s="47">
        <f t="shared" si="1305"/>
        <v>0</v>
      </c>
      <c r="AP249" s="47">
        <f t="shared" si="1305"/>
        <v>0</v>
      </c>
      <c r="AQ249" s="47">
        <f t="shared" si="1305"/>
        <v>0</v>
      </c>
      <c r="AR249" s="47">
        <f t="shared" si="1305"/>
        <v>3950.4632</v>
      </c>
      <c r="AS249" s="47">
        <f t="shared" si="1305"/>
        <v>2761.5661</v>
      </c>
      <c r="AT249" s="47">
        <f t="shared" si="1305"/>
        <v>3390.2478</v>
      </c>
      <c r="AU249" s="65">
        <f t="shared" si="1297"/>
        <v>10102.2771</v>
      </c>
      <c r="AV249" s="197"/>
      <c r="AW249" s="47">
        <f t="shared" ref="AW249:BH249" si="1306">IFERROR(AW102-AW228,0)</f>
        <v>0</v>
      </c>
      <c r="AX249" s="47">
        <f t="shared" si="1306"/>
        <v>0</v>
      </c>
      <c r="AY249" s="47">
        <f t="shared" si="1306"/>
        <v>0</v>
      </c>
      <c r="AZ249" s="47">
        <f t="shared" si="1306"/>
        <v>0</v>
      </c>
      <c r="BA249" s="47">
        <f t="shared" si="1306"/>
        <v>0</v>
      </c>
      <c r="BB249" s="47">
        <f t="shared" si="1306"/>
        <v>0</v>
      </c>
      <c r="BC249" s="47">
        <f t="shared" si="1306"/>
        <v>11205.5751</v>
      </c>
      <c r="BD249" s="47">
        <f t="shared" si="1306"/>
        <v>10384.0036</v>
      </c>
      <c r="BE249" s="47">
        <f t="shared" si="1306"/>
        <v>7438.2696</v>
      </c>
      <c r="BF249" s="47">
        <f t="shared" si="1306"/>
        <v>3950.4632</v>
      </c>
      <c r="BG249" s="47">
        <f t="shared" si="1306"/>
        <v>2761.5661</v>
      </c>
      <c r="BH249" s="47">
        <f t="shared" si="1306"/>
        <v>3390.2478</v>
      </c>
      <c r="BI249" s="65">
        <f t="shared" si="1299"/>
        <v>39130.1254</v>
      </c>
      <c r="BJ249" s="126"/>
      <c r="BK249" s="128">
        <v>6458.5992</v>
      </c>
      <c r="BL249" s="128">
        <v>4555.79</v>
      </c>
      <c r="BM249" s="128">
        <v>3490.4637</v>
      </c>
      <c r="BN249" s="128">
        <v>3507.1121</v>
      </c>
      <c r="BO249" s="128">
        <v>2732.1338</v>
      </c>
      <c r="BP249" s="128">
        <v>4306.7277</v>
      </c>
      <c r="BQ249" s="128">
        <v>11205.5751</v>
      </c>
      <c r="BR249" s="128">
        <v>10384.0036</v>
      </c>
      <c r="BS249" s="128">
        <v>7438.2696</v>
      </c>
      <c r="BT249" s="128">
        <v>3950.4632</v>
      </c>
      <c r="BU249" s="128">
        <v>2761.5661</v>
      </c>
      <c r="BV249" s="128">
        <v>3390.2478</v>
      </c>
      <c r="BW249" s="129">
        <v>64180.9519</v>
      </c>
      <c r="BX249" s="1"/>
      <c r="BY249" s="47"/>
      <c r="BZ249" s="47"/>
      <c r="CA249" s="47"/>
      <c r="CB249" s="47"/>
      <c r="CC249" s="47"/>
      <c r="CD249" s="47"/>
      <c r="CE249" s="47"/>
      <c r="CF249" s="47"/>
      <c r="CG249" s="47"/>
      <c r="CH249" s="47"/>
      <c r="CI249" s="47"/>
      <c r="CJ249" s="47"/>
      <c r="CK249" s="65"/>
      <c r="CL249" s="47"/>
      <c r="CM249" s="47"/>
      <c r="CN249" s="47"/>
      <c r="CO249" s="47"/>
      <c r="CP249" s="47"/>
      <c r="CQ249" s="47"/>
      <c r="CR249" s="47"/>
      <c r="CS249" s="47"/>
      <c r="CT249" s="47"/>
      <c r="CU249" s="47"/>
      <c r="CV249" s="47"/>
      <c r="CW249" s="47"/>
      <c r="CX249" s="47"/>
      <c r="CY249" s="65"/>
      <c r="CZ249" s="11"/>
      <c r="DA249" s="47">
        <f t="shared" si="1300"/>
        <v>6458.5992</v>
      </c>
      <c r="DB249" s="47"/>
      <c r="DC249" s="47"/>
      <c r="DD249" s="47"/>
      <c r="DE249" s="47"/>
      <c r="DF249" s="47"/>
      <c r="DG249" s="47"/>
      <c r="DH249" s="47"/>
      <c r="DI249" s="47"/>
      <c r="DJ249" s="47"/>
      <c r="DK249" s="47"/>
      <c r="DL249" s="47"/>
      <c r="DM249" s="65">
        <f t="shared" si="1301"/>
        <v>6458.5992</v>
      </c>
      <c r="DN249" s="1"/>
      <c r="DO249" s="206"/>
      <c r="DP249" s="206"/>
      <c r="DQ249" s="131"/>
    </row>
    <row r="250" outlineLevel="1">
      <c r="A250" s="124"/>
      <c r="B250" s="123" t="s">
        <v>233</v>
      </c>
      <c r="C250" s="196"/>
      <c r="D250" s="47">
        <f t="shared" ref="D250:G250" si="1307">iferror(D103-D229,0)</f>
        <v>0</v>
      </c>
      <c r="E250" s="47">
        <f t="shared" si="1307"/>
        <v>0</v>
      </c>
      <c r="F250" s="47">
        <f t="shared" si="1307"/>
        <v>3325.7713</v>
      </c>
      <c r="G250" s="47">
        <f t="shared" si="1307"/>
        <v>0</v>
      </c>
      <c r="H250" s="96"/>
      <c r="I250" s="66">
        <f t="shared" si="1280"/>
        <v>0</v>
      </c>
      <c r="J250" s="60">
        <f t="shared" si="1281"/>
        <v>0</v>
      </c>
      <c r="K250" s="66">
        <f t="shared" si="1282"/>
        <v>-3325.7713</v>
      </c>
      <c r="L250" s="60">
        <f t="shared" si="1283"/>
        <v>-1</v>
      </c>
      <c r="M250" s="66">
        <f t="shared" si="1284"/>
        <v>0</v>
      </c>
      <c r="N250" s="60">
        <f t="shared" si="1285"/>
        <v>0</v>
      </c>
      <c r="O250" s="96"/>
      <c r="P250" s="47">
        <f t="shared" ref="P250:R250" si="1308">iferror(P103-P229,0)</f>
        <v>0</v>
      </c>
      <c r="Q250" s="47">
        <f t="shared" si="1308"/>
        <v>15250.7221</v>
      </c>
      <c r="R250" s="47">
        <f t="shared" si="1308"/>
        <v>0</v>
      </c>
      <c r="S250" s="96"/>
      <c r="T250" s="66">
        <f t="shared" si="1287"/>
        <v>-15250.7221</v>
      </c>
      <c r="U250" s="60">
        <f t="shared" si="1288"/>
        <v>-1</v>
      </c>
      <c r="V250" s="66">
        <f t="shared" si="1289"/>
        <v>0</v>
      </c>
      <c r="W250" s="60">
        <f t="shared" si="1290"/>
        <v>0</v>
      </c>
      <c r="X250" s="96"/>
      <c r="Y250" s="47">
        <f t="shared" ref="Y250:AB250" si="1309">iferror(Y103-Y229,0)</f>
        <v>7034.891</v>
      </c>
      <c r="Z250" s="47">
        <f t="shared" si="1309"/>
        <v>20680.2188</v>
      </c>
      <c r="AA250" s="47">
        <f t="shared" si="1309"/>
        <v>35930.9412</v>
      </c>
      <c r="AB250" s="47">
        <f t="shared" si="1309"/>
        <v>0</v>
      </c>
      <c r="AC250" s="96"/>
      <c r="AD250" s="66">
        <f t="shared" si="1292"/>
        <v>-28896.0502</v>
      </c>
      <c r="AE250" s="60">
        <f t="shared" si="1293"/>
        <v>-0.8042107786</v>
      </c>
      <c r="AF250" s="66">
        <f t="shared" si="1294"/>
        <v>7034.891</v>
      </c>
      <c r="AG250" s="60">
        <f t="shared" si="1295"/>
        <v>0</v>
      </c>
      <c r="AH250" s="126"/>
      <c r="AI250" s="47">
        <f t="shared" ref="AI250:AT250" si="1310">IFERROR(AI103-AI229,0)</f>
        <v>0</v>
      </c>
      <c r="AJ250" s="47">
        <f t="shared" si="1310"/>
        <v>0</v>
      </c>
      <c r="AK250" s="47">
        <f t="shared" si="1310"/>
        <v>0</v>
      </c>
      <c r="AL250" s="47">
        <f t="shared" si="1310"/>
        <v>0</v>
      </c>
      <c r="AM250" s="47">
        <f t="shared" si="1310"/>
        <v>0</v>
      </c>
      <c r="AN250" s="47">
        <f t="shared" si="1310"/>
        <v>0</v>
      </c>
      <c r="AO250" s="47">
        <f t="shared" si="1310"/>
        <v>0</v>
      </c>
      <c r="AP250" s="47">
        <f t="shared" si="1310"/>
        <v>0</v>
      </c>
      <c r="AQ250" s="47">
        <f t="shared" si="1310"/>
        <v>0</v>
      </c>
      <c r="AR250" s="47">
        <f t="shared" si="1310"/>
        <v>3290.8205</v>
      </c>
      <c r="AS250" s="47">
        <f t="shared" si="1310"/>
        <v>1737.725</v>
      </c>
      <c r="AT250" s="47">
        <f t="shared" si="1310"/>
        <v>2006.3455</v>
      </c>
      <c r="AU250" s="65">
        <f t="shared" si="1297"/>
        <v>7034.891</v>
      </c>
      <c r="AV250" s="197"/>
      <c r="AW250" s="47">
        <f t="shared" ref="AW250:BH250" si="1311">IFERROR(AW103-AW229,0)</f>
        <v>0</v>
      </c>
      <c r="AX250" s="47">
        <f t="shared" si="1311"/>
        <v>0</v>
      </c>
      <c r="AY250" s="47">
        <f t="shared" si="1311"/>
        <v>0</v>
      </c>
      <c r="AZ250" s="47">
        <f t="shared" si="1311"/>
        <v>0</v>
      </c>
      <c r="BA250" s="47">
        <f t="shared" si="1311"/>
        <v>0</v>
      </c>
      <c r="BB250" s="47">
        <f t="shared" si="1311"/>
        <v>0</v>
      </c>
      <c r="BC250" s="47">
        <f t="shared" si="1311"/>
        <v>5361.1635</v>
      </c>
      <c r="BD250" s="47">
        <f t="shared" si="1311"/>
        <v>4969.1587</v>
      </c>
      <c r="BE250" s="47">
        <f t="shared" si="1311"/>
        <v>3315.0056</v>
      </c>
      <c r="BF250" s="47">
        <f t="shared" si="1311"/>
        <v>3290.8205</v>
      </c>
      <c r="BG250" s="47">
        <f t="shared" si="1311"/>
        <v>1737.725</v>
      </c>
      <c r="BH250" s="47">
        <f t="shared" si="1311"/>
        <v>2006.3455</v>
      </c>
      <c r="BI250" s="65">
        <f t="shared" si="1299"/>
        <v>20680.2188</v>
      </c>
      <c r="BJ250" s="126"/>
      <c r="BK250" s="128">
        <v>3155.0668</v>
      </c>
      <c r="BL250" s="128">
        <v>2353.5435</v>
      </c>
      <c r="BM250" s="128">
        <v>1975.2112</v>
      </c>
      <c r="BN250" s="128">
        <v>1874.3483</v>
      </c>
      <c r="BO250" s="128">
        <v>2566.7813</v>
      </c>
      <c r="BP250" s="128">
        <v>3325.7714</v>
      </c>
      <c r="BQ250" s="128">
        <v>5361.1635</v>
      </c>
      <c r="BR250" s="128">
        <v>4969.1587</v>
      </c>
      <c r="BS250" s="128">
        <v>3315.0057</v>
      </c>
      <c r="BT250" s="128">
        <v>3290.8205</v>
      </c>
      <c r="BU250" s="128">
        <v>1737.725</v>
      </c>
      <c r="BV250" s="128">
        <v>2006.3456</v>
      </c>
      <c r="BW250" s="129">
        <v>35930.9412</v>
      </c>
      <c r="BX250" s="1"/>
      <c r="BY250" s="47"/>
      <c r="BZ250" s="47"/>
      <c r="CA250" s="47"/>
      <c r="CB250" s="47"/>
      <c r="CC250" s="47"/>
      <c r="CD250" s="47"/>
      <c r="CE250" s="47"/>
      <c r="CF250" s="47"/>
      <c r="CG250" s="47"/>
      <c r="CH250" s="47"/>
      <c r="CI250" s="47"/>
      <c r="CJ250" s="47"/>
      <c r="CK250" s="65"/>
      <c r="CL250" s="47"/>
      <c r="CM250" s="47"/>
      <c r="CN250" s="47"/>
      <c r="CO250" s="47"/>
      <c r="CP250" s="47"/>
      <c r="CQ250" s="47"/>
      <c r="CR250" s="47"/>
      <c r="CS250" s="47"/>
      <c r="CT250" s="47"/>
      <c r="CU250" s="47"/>
      <c r="CV250" s="47"/>
      <c r="CW250" s="47"/>
      <c r="CX250" s="47"/>
      <c r="CY250" s="65"/>
      <c r="CZ250" s="11"/>
      <c r="DA250" s="47">
        <f t="shared" si="1300"/>
        <v>3155.0667</v>
      </c>
      <c r="DB250" s="47"/>
      <c r="DC250" s="47"/>
      <c r="DD250" s="47"/>
      <c r="DE250" s="47"/>
      <c r="DF250" s="47"/>
      <c r="DG250" s="47"/>
      <c r="DH250" s="47"/>
      <c r="DI250" s="47"/>
      <c r="DJ250" s="47"/>
      <c r="DK250" s="47"/>
      <c r="DL250" s="47"/>
      <c r="DM250" s="65">
        <f t="shared" si="1301"/>
        <v>3155.0667</v>
      </c>
      <c r="DN250" s="1"/>
      <c r="DO250" s="206"/>
      <c r="DP250" s="206"/>
      <c r="DQ250" s="131"/>
    </row>
    <row r="251" outlineLevel="1">
      <c r="A251" s="124"/>
      <c r="B251" s="123" t="s">
        <v>234</v>
      </c>
      <c r="C251" s="196"/>
      <c r="D251" s="47">
        <f t="shared" ref="D251:G251" si="1312">iferror(D107-D230,0)</f>
        <v>0</v>
      </c>
      <c r="E251" s="47">
        <f t="shared" si="1312"/>
        <v>0</v>
      </c>
      <c r="F251" s="47">
        <f t="shared" si="1312"/>
        <v>3209.737</v>
      </c>
      <c r="G251" s="47">
        <f t="shared" si="1312"/>
        <v>0</v>
      </c>
      <c r="H251" s="96"/>
      <c r="I251" s="66">
        <f t="shared" si="1280"/>
        <v>0</v>
      </c>
      <c r="J251" s="60">
        <f t="shared" si="1281"/>
        <v>0</v>
      </c>
      <c r="K251" s="66">
        <f t="shared" si="1282"/>
        <v>-3209.737</v>
      </c>
      <c r="L251" s="60">
        <f t="shared" si="1283"/>
        <v>-1</v>
      </c>
      <c r="M251" s="66">
        <f t="shared" si="1284"/>
        <v>0</v>
      </c>
      <c r="N251" s="60">
        <f t="shared" si="1285"/>
        <v>0</v>
      </c>
      <c r="O251" s="96"/>
      <c r="P251" s="47">
        <f t="shared" ref="P251:R251" si="1313">iferror(P107-P230,0)</f>
        <v>0</v>
      </c>
      <c r="Q251" s="47">
        <f t="shared" si="1313"/>
        <v>3209.737</v>
      </c>
      <c r="R251" s="47">
        <f t="shared" si="1313"/>
        <v>0</v>
      </c>
      <c r="S251" s="96"/>
      <c r="T251" s="66">
        <f t="shared" si="1287"/>
        <v>-3209.737</v>
      </c>
      <c r="U251" s="60">
        <f t="shared" si="1288"/>
        <v>-1</v>
      </c>
      <c r="V251" s="66">
        <f t="shared" si="1289"/>
        <v>0</v>
      </c>
      <c r="W251" s="60">
        <f t="shared" si="1290"/>
        <v>0</v>
      </c>
      <c r="X251" s="96"/>
      <c r="Y251" s="47">
        <f t="shared" ref="Y251:AB251" si="1314">iferror(Y107-Y230,0)</f>
        <v>8904.517</v>
      </c>
      <c r="Z251" s="47">
        <f t="shared" si="1314"/>
        <v>23103.238</v>
      </c>
      <c r="AA251" s="47">
        <f t="shared" si="1314"/>
        <v>26312.975</v>
      </c>
      <c r="AB251" s="47">
        <f t="shared" si="1314"/>
        <v>0</v>
      </c>
      <c r="AC251" s="96"/>
      <c r="AD251" s="66">
        <f t="shared" si="1292"/>
        <v>-17408.458</v>
      </c>
      <c r="AE251" s="60">
        <f t="shared" si="1293"/>
        <v>-0.6615921613</v>
      </c>
      <c r="AF251" s="66">
        <f t="shared" si="1294"/>
        <v>8904.517</v>
      </c>
      <c r="AG251" s="60">
        <f t="shared" si="1295"/>
        <v>0</v>
      </c>
      <c r="AH251" s="126"/>
      <c r="AI251" s="47">
        <f t="shared" ref="AI251:AT251" si="1315">IFERROR(AI107-AI230,0)</f>
        <v>0</v>
      </c>
      <c r="AJ251" s="47">
        <f t="shared" si="1315"/>
        <v>0</v>
      </c>
      <c r="AK251" s="47">
        <f t="shared" si="1315"/>
        <v>0</v>
      </c>
      <c r="AL251" s="47">
        <f t="shared" si="1315"/>
        <v>0</v>
      </c>
      <c r="AM251" s="47">
        <f t="shared" si="1315"/>
        <v>0</v>
      </c>
      <c r="AN251" s="47">
        <f t="shared" si="1315"/>
        <v>0</v>
      </c>
      <c r="AO251" s="47">
        <f t="shared" si="1315"/>
        <v>0</v>
      </c>
      <c r="AP251" s="47">
        <f t="shared" si="1315"/>
        <v>0</v>
      </c>
      <c r="AQ251" s="47">
        <f t="shared" si="1315"/>
        <v>0</v>
      </c>
      <c r="AR251" s="47">
        <f t="shared" si="1315"/>
        <v>4196.864</v>
      </c>
      <c r="AS251" s="47">
        <f t="shared" si="1315"/>
        <v>2184.95</v>
      </c>
      <c r="AT251" s="47">
        <f t="shared" si="1315"/>
        <v>2522.703</v>
      </c>
      <c r="AU251" s="65">
        <f t="shared" si="1297"/>
        <v>8904.517</v>
      </c>
      <c r="AV251" s="197"/>
      <c r="AW251" s="47">
        <f t="shared" ref="AW251:BH251" si="1316">IFERROR(AW107-AW230,0)</f>
        <v>0</v>
      </c>
      <c r="AX251" s="47">
        <f t="shared" si="1316"/>
        <v>0</v>
      </c>
      <c r="AY251" s="47">
        <f t="shared" si="1316"/>
        <v>0</v>
      </c>
      <c r="AZ251" s="47">
        <f t="shared" si="1316"/>
        <v>0</v>
      </c>
      <c r="BA251" s="47">
        <f t="shared" si="1316"/>
        <v>0</v>
      </c>
      <c r="BB251" s="47">
        <f t="shared" si="1316"/>
        <v>0</v>
      </c>
      <c r="BC251" s="47">
        <f t="shared" si="1316"/>
        <v>5175.225</v>
      </c>
      <c r="BD251" s="47">
        <f t="shared" si="1316"/>
        <v>4795.788</v>
      </c>
      <c r="BE251" s="47">
        <f t="shared" si="1316"/>
        <v>4227.708</v>
      </c>
      <c r="BF251" s="47">
        <f t="shared" si="1316"/>
        <v>4196.864</v>
      </c>
      <c r="BG251" s="47">
        <f t="shared" si="1316"/>
        <v>2184.95</v>
      </c>
      <c r="BH251" s="47">
        <f t="shared" si="1316"/>
        <v>2522.703</v>
      </c>
      <c r="BI251" s="65">
        <f t="shared" si="1299"/>
        <v>23103.238</v>
      </c>
      <c r="BJ251" s="126"/>
      <c r="BK251" s="128">
        <v>0.0</v>
      </c>
      <c r="BL251" s="128">
        <v>0.0</v>
      </c>
      <c r="BM251" s="128">
        <v>0.0</v>
      </c>
      <c r="BN251" s="128">
        <v>0.0</v>
      </c>
      <c r="BO251" s="128">
        <v>0.0</v>
      </c>
      <c r="BP251" s="128">
        <v>3209.737</v>
      </c>
      <c r="BQ251" s="128">
        <v>5175.225</v>
      </c>
      <c r="BR251" s="128">
        <v>4795.788</v>
      </c>
      <c r="BS251" s="128">
        <v>4227.708</v>
      </c>
      <c r="BT251" s="128">
        <v>4196.864</v>
      </c>
      <c r="BU251" s="128">
        <v>2184.95</v>
      </c>
      <c r="BV251" s="128">
        <v>2522.703</v>
      </c>
      <c r="BW251" s="129">
        <v>26312.975</v>
      </c>
      <c r="BX251" s="1"/>
      <c r="BY251" s="47"/>
      <c r="BZ251" s="47"/>
      <c r="CA251" s="47"/>
      <c r="CB251" s="47"/>
      <c r="CC251" s="47"/>
      <c r="CD251" s="47"/>
      <c r="CE251" s="47"/>
      <c r="CF251" s="47"/>
      <c r="CG251" s="47"/>
      <c r="CH251" s="47"/>
      <c r="CI251" s="47"/>
      <c r="CJ251" s="47"/>
      <c r="CK251" s="65"/>
      <c r="CL251" s="47"/>
      <c r="CM251" s="47"/>
      <c r="CN251" s="47"/>
      <c r="CO251" s="47"/>
      <c r="CP251" s="47"/>
      <c r="CQ251" s="47"/>
      <c r="CR251" s="47"/>
      <c r="CS251" s="47"/>
      <c r="CT251" s="47"/>
      <c r="CU251" s="47"/>
      <c r="CV251" s="47"/>
      <c r="CW251" s="47"/>
      <c r="CX251" s="47"/>
      <c r="CY251" s="65"/>
      <c r="CZ251" s="11"/>
      <c r="DA251" s="47">
        <f>IFERROR(DA107-DA230,0)</f>
        <v>0</v>
      </c>
      <c r="DB251" s="47"/>
      <c r="DC251" s="47"/>
      <c r="DD251" s="47"/>
      <c r="DE251" s="47"/>
      <c r="DF251" s="47"/>
      <c r="DG251" s="47"/>
      <c r="DH251" s="47"/>
      <c r="DI251" s="47"/>
      <c r="DJ251" s="47"/>
      <c r="DK251" s="47"/>
      <c r="DL251" s="47"/>
      <c r="DM251" s="65">
        <f t="shared" si="1301"/>
        <v>0</v>
      </c>
      <c r="DN251" s="1"/>
      <c r="DO251" s="206"/>
      <c r="DP251" s="206"/>
      <c r="DQ251" s="131"/>
    </row>
    <row r="252" outlineLevel="1">
      <c r="A252" s="124"/>
      <c r="B252" s="123" t="s">
        <v>235</v>
      </c>
      <c r="C252" s="196"/>
      <c r="D252" s="47">
        <f t="shared" ref="D252:G252" si="1317">iferror(D109-D231,0)</f>
        <v>0</v>
      </c>
      <c r="E252" s="47">
        <f t="shared" si="1317"/>
        <v>0</v>
      </c>
      <c r="F252" s="47">
        <f t="shared" si="1317"/>
        <v>0</v>
      </c>
      <c r="G252" s="47">
        <f t="shared" si="1317"/>
        <v>0</v>
      </c>
      <c r="H252" s="96"/>
      <c r="I252" s="66">
        <f t="shared" si="1280"/>
        <v>0</v>
      </c>
      <c r="J252" s="60">
        <f t="shared" si="1281"/>
        <v>0</v>
      </c>
      <c r="K252" s="66">
        <f t="shared" si="1282"/>
        <v>0</v>
      </c>
      <c r="L252" s="60">
        <f t="shared" si="1283"/>
        <v>0</v>
      </c>
      <c r="M252" s="66">
        <f t="shared" si="1284"/>
        <v>0</v>
      </c>
      <c r="N252" s="60">
        <f t="shared" si="1285"/>
        <v>0</v>
      </c>
      <c r="O252" s="96"/>
      <c r="P252" s="47">
        <f t="shared" ref="P252:R252" si="1318">iferror(P109-P231,0)</f>
        <v>0</v>
      </c>
      <c r="Q252" s="47">
        <f t="shared" si="1318"/>
        <v>0</v>
      </c>
      <c r="R252" s="47">
        <f t="shared" si="1318"/>
        <v>0</v>
      </c>
      <c r="S252" s="96"/>
      <c r="T252" s="66">
        <f t="shared" si="1287"/>
        <v>0</v>
      </c>
      <c r="U252" s="60">
        <f t="shared" si="1288"/>
        <v>0</v>
      </c>
      <c r="V252" s="66">
        <f t="shared" si="1289"/>
        <v>0</v>
      </c>
      <c r="W252" s="60">
        <f t="shared" si="1290"/>
        <v>0</v>
      </c>
      <c r="X252" s="96"/>
      <c r="Y252" s="47">
        <f t="shared" ref="Y252:AB252" si="1319">iferror(Y109-Y231,0)</f>
        <v>0</v>
      </c>
      <c r="Z252" s="47">
        <f t="shared" si="1319"/>
        <v>0</v>
      </c>
      <c r="AA252" s="47">
        <f t="shared" si="1319"/>
        <v>0</v>
      </c>
      <c r="AB252" s="47">
        <f t="shared" si="1319"/>
        <v>0</v>
      </c>
      <c r="AC252" s="96"/>
      <c r="AD252" s="66">
        <f t="shared" si="1292"/>
        <v>0</v>
      </c>
      <c r="AE252" s="60">
        <f t="shared" si="1293"/>
        <v>0</v>
      </c>
      <c r="AF252" s="66">
        <f t="shared" si="1294"/>
        <v>0</v>
      </c>
      <c r="AG252" s="60">
        <f t="shared" si="1295"/>
        <v>0</v>
      </c>
      <c r="AH252" s="126"/>
      <c r="AI252" s="47">
        <f t="shared" ref="AI252:AT252" si="1320">IFERROR(AI109-AI231,0)</f>
        <v>0</v>
      </c>
      <c r="AJ252" s="47">
        <f t="shared" si="1320"/>
        <v>0</v>
      </c>
      <c r="AK252" s="47">
        <f t="shared" si="1320"/>
        <v>0</v>
      </c>
      <c r="AL252" s="47">
        <f t="shared" si="1320"/>
        <v>0</v>
      </c>
      <c r="AM252" s="47">
        <f t="shared" si="1320"/>
        <v>0</v>
      </c>
      <c r="AN252" s="47">
        <f t="shared" si="1320"/>
        <v>0</v>
      </c>
      <c r="AO252" s="47">
        <f t="shared" si="1320"/>
        <v>0</v>
      </c>
      <c r="AP252" s="47">
        <f t="shared" si="1320"/>
        <v>0</v>
      </c>
      <c r="AQ252" s="47">
        <f t="shared" si="1320"/>
        <v>0</v>
      </c>
      <c r="AR252" s="47">
        <f t="shared" si="1320"/>
        <v>0</v>
      </c>
      <c r="AS252" s="47">
        <f t="shared" si="1320"/>
        <v>0</v>
      </c>
      <c r="AT252" s="47">
        <f t="shared" si="1320"/>
        <v>0</v>
      </c>
      <c r="AU252" s="65">
        <f t="shared" si="1297"/>
        <v>0</v>
      </c>
      <c r="AV252" s="197"/>
      <c r="AW252" s="47">
        <f t="shared" ref="AW252:BH252" si="1321">IFERROR(AW109-AW231,0)</f>
        <v>0</v>
      </c>
      <c r="AX252" s="47">
        <f t="shared" si="1321"/>
        <v>0</v>
      </c>
      <c r="AY252" s="47">
        <f t="shared" si="1321"/>
        <v>0</v>
      </c>
      <c r="AZ252" s="47">
        <f t="shared" si="1321"/>
        <v>0</v>
      </c>
      <c r="BA252" s="47">
        <f t="shared" si="1321"/>
        <v>0</v>
      </c>
      <c r="BB252" s="47">
        <f t="shared" si="1321"/>
        <v>0</v>
      </c>
      <c r="BC252" s="47">
        <f t="shared" si="1321"/>
        <v>0</v>
      </c>
      <c r="BD252" s="47">
        <f t="shared" si="1321"/>
        <v>0</v>
      </c>
      <c r="BE252" s="47">
        <f t="shared" si="1321"/>
        <v>0</v>
      </c>
      <c r="BF252" s="47">
        <f t="shared" si="1321"/>
        <v>0</v>
      </c>
      <c r="BG252" s="47">
        <f t="shared" si="1321"/>
        <v>0</v>
      </c>
      <c r="BH252" s="47">
        <f t="shared" si="1321"/>
        <v>0</v>
      </c>
      <c r="BI252" s="65">
        <f t="shared" si="1299"/>
        <v>0</v>
      </c>
      <c r="BJ252" s="126"/>
      <c r="BK252" s="128">
        <v>0.0</v>
      </c>
      <c r="BL252" s="128">
        <v>0.0</v>
      </c>
      <c r="BM252" s="128">
        <v>0.0</v>
      </c>
      <c r="BN252" s="128">
        <v>0.0</v>
      </c>
      <c r="BO252" s="128">
        <v>0.0</v>
      </c>
      <c r="BP252" s="128">
        <v>0.0</v>
      </c>
      <c r="BQ252" s="128">
        <v>0.0</v>
      </c>
      <c r="BR252" s="128">
        <v>0.0</v>
      </c>
      <c r="BS252" s="128">
        <v>0.0</v>
      </c>
      <c r="BT252" s="128">
        <v>0.0</v>
      </c>
      <c r="BU252" s="128">
        <v>0.0</v>
      </c>
      <c r="BV252" s="128">
        <v>0.0</v>
      </c>
      <c r="BW252" s="129">
        <v>0.0</v>
      </c>
      <c r="BX252" s="1"/>
      <c r="BY252" s="47"/>
      <c r="BZ252" s="47"/>
      <c r="CA252" s="47"/>
      <c r="CB252" s="47"/>
      <c r="CC252" s="47"/>
      <c r="CD252" s="47"/>
      <c r="CE252" s="47"/>
      <c r="CF252" s="47"/>
      <c r="CG252" s="47"/>
      <c r="CH252" s="47"/>
      <c r="CI252" s="47"/>
      <c r="CJ252" s="47"/>
      <c r="CK252" s="65"/>
      <c r="CL252" s="47"/>
      <c r="CM252" s="47"/>
      <c r="CN252" s="47"/>
      <c r="CO252" s="47"/>
      <c r="CP252" s="47"/>
      <c r="CQ252" s="47"/>
      <c r="CR252" s="47"/>
      <c r="CS252" s="47"/>
      <c r="CT252" s="47"/>
      <c r="CU252" s="47"/>
      <c r="CV252" s="47"/>
      <c r="CW252" s="47"/>
      <c r="CX252" s="47"/>
      <c r="CY252" s="65"/>
      <c r="CZ252" s="11"/>
      <c r="DA252" s="47">
        <f>IFERROR(DA109-DA231,0)</f>
        <v>0</v>
      </c>
      <c r="DB252" s="47"/>
      <c r="DC252" s="47"/>
      <c r="DD252" s="47"/>
      <c r="DE252" s="47"/>
      <c r="DF252" s="47"/>
      <c r="DG252" s="47"/>
      <c r="DH252" s="47"/>
      <c r="DI252" s="47"/>
      <c r="DJ252" s="47"/>
      <c r="DK252" s="47"/>
      <c r="DL252" s="47"/>
      <c r="DM252" s="65">
        <f t="shared" si="1301"/>
        <v>0</v>
      </c>
      <c r="DN252" s="1"/>
      <c r="DO252" s="206"/>
      <c r="DP252" s="206"/>
      <c r="DQ252" s="131"/>
    </row>
    <row r="253" outlineLevel="1">
      <c r="A253" s="124"/>
      <c r="B253" s="123" t="s">
        <v>236</v>
      </c>
      <c r="C253" s="196"/>
      <c r="D253" s="47">
        <f t="shared" ref="D253:G253" si="1322">iferror(D106-D232,0)</f>
        <v>0</v>
      </c>
      <c r="E253" s="47">
        <f t="shared" si="1322"/>
        <v>0</v>
      </c>
      <c r="F253" s="47">
        <f t="shared" si="1322"/>
        <v>0</v>
      </c>
      <c r="G253" s="47">
        <f t="shared" si="1322"/>
        <v>0</v>
      </c>
      <c r="H253" s="96"/>
      <c r="I253" s="66">
        <f t="shared" si="1280"/>
        <v>0</v>
      </c>
      <c r="J253" s="60">
        <f t="shared" si="1281"/>
        <v>0</v>
      </c>
      <c r="K253" s="66">
        <f t="shared" si="1282"/>
        <v>0</v>
      </c>
      <c r="L253" s="60">
        <f t="shared" si="1283"/>
        <v>0</v>
      </c>
      <c r="M253" s="66">
        <f t="shared" si="1284"/>
        <v>0</v>
      </c>
      <c r="N253" s="60">
        <f t="shared" si="1285"/>
        <v>0</v>
      </c>
      <c r="O253" s="96"/>
      <c r="P253" s="47">
        <f t="shared" ref="P253:R253" si="1323">iferror(P106-P232,0)</f>
        <v>0</v>
      </c>
      <c r="Q253" s="47">
        <f t="shared" si="1323"/>
        <v>0</v>
      </c>
      <c r="R253" s="47">
        <f t="shared" si="1323"/>
        <v>0</v>
      </c>
      <c r="S253" s="96"/>
      <c r="T253" s="66">
        <f t="shared" si="1287"/>
        <v>0</v>
      </c>
      <c r="U253" s="60">
        <f t="shared" si="1288"/>
        <v>0</v>
      </c>
      <c r="V253" s="66">
        <f t="shared" si="1289"/>
        <v>0</v>
      </c>
      <c r="W253" s="60">
        <f t="shared" si="1290"/>
        <v>0</v>
      </c>
      <c r="X253" s="96"/>
      <c r="Y253" s="47">
        <f t="shared" ref="Y253:AB253" si="1324">iferror(Y106-Y232,0)</f>
        <v>0</v>
      </c>
      <c r="Z253" s="47">
        <f t="shared" si="1324"/>
        <v>0</v>
      </c>
      <c r="AA253" s="47">
        <f t="shared" si="1324"/>
        <v>0</v>
      </c>
      <c r="AB253" s="47">
        <f t="shared" si="1324"/>
        <v>0</v>
      </c>
      <c r="AC253" s="96"/>
      <c r="AD253" s="66">
        <f t="shared" si="1292"/>
        <v>0</v>
      </c>
      <c r="AE253" s="60">
        <f t="shared" si="1293"/>
        <v>0</v>
      </c>
      <c r="AF253" s="66">
        <f t="shared" si="1294"/>
        <v>0</v>
      </c>
      <c r="AG253" s="60">
        <f t="shared" si="1295"/>
        <v>0</v>
      </c>
      <c r="AH253" s="126"/>
      <c r="AI253" s="47">
        <f t="shared" ref="AI253:AT253" si="1325">IFERROR(AI106-AI232,0)</f>
        <v>0</v>
      </c>
      <c r="AJ253" s="47">
        <f t="shared" si="1325"/>
        <v>0</v>
      </c>
      <c r="AK253" s="47">
        <f t="shared" si="1325"/>
        <v>0</v>
      </c>
      <c r="AL253" s="47">
        <f t="shared" si="1325"/>
        <v>0</v>
      </c>
      <c r="AM253" s="47">
        <f t="shared" si="1325"/>
        <v>0</v>
      </c>
      <c r="AN253" s="47">
        <f t="shared" si="1325"/>
        <v>0</v>
      </c>
      <c r="AO253" s="47">
        <f t="shared" si="1325"/>
        <v>0</v>
      </c>
      <c r="AP253" s="47">
        <f t="shared" si="1325"/>
        <v>0</v>
      </c>
      <c r="AQ253" s="47">
        <f t="shared" si="1325"/>
        <v>0</v>
      </c>
      <c r="AR253" s="47">
        <f t="shared" si="1325"/>
        <v>0</v>
      </c>
      <c r="AS253" s="47">
        <f t="shared" si="1325"/>
        <v>0</v>
      </c>
      <c r="AT253" s="47">
        <f t="shared" si="1325"/>
        <v>0</v>
      </c>
      <c r="AU253" s="65">
        <f t="shared" si="1297"/>
        <v>0</v>
      </c>
      <c r="AV253" s="197"/>
      <c r="AW253" s="47">
        <f t="shared" ref="AW253:BH253" si="1326">IFERROR(AW106-AW232,0)</f>
        <v>0</v>
      </c>
      <c r="AX253" s="47">
        <f t="shared" si="1326"/>
        <v>0</v>
      </c>
      <c r="AY253" s="47">
        <f t="shared" si="1326"/>
        <v>0</v>
      </c>
      <c r="AZ253" s="47">
        <f t="shared" si="1326"/>
        <v>0</v>
      </c>
      <c r="BA253" s="47">
        <f t="shared" si="1326"/>
        <v>0</v>
      </c>
      <c r="BB253" s="47">
        <f t="shared" si="1326"/>
        <v>0</v>
      </c>
      <c r="BC253" s="47">
        <f t="shared" si="1326"/>
        <v>0</v>
      </c>
      <c r="BD253" s="47">
        <f t="shared" si="1326"/>
        <v>0</v>
      </c>
      <c r="BE253" s="47">
        <f t="shared" si="1326"/>
        <v>0</v>
      </c>
      <c r="BF253" s="47">
        <f t="shared" si="1326"/>
        <v>0</v>
      </c>
      <c r="BG253" s="47">
        <f t="shared" si="1326"/>
        <v>0</v>
      </c>
      <c r="BH253" s="47">
        <f t="shared" si="1326"/>
        <v>0</v>
      </c>
      <c r="BI253" s="65">
        <f t="shared" si="1299"/>
        <v>0</v>
      </c>
      <c r="BJ253" s="126"/>
      <c r="BK253" s="128">
        <v>0.0</v>
      </c>
      <c r="BL253" s="128">
        <v>0.0</v>
      </c>
      <c r="BM253" s="128">
        <v>0.0</v>
      </c>
      <c r="BN253" s="128">
        <v>0.0</v>
      </c>
      <c r="BO253" s="128">
        <v>0.0</v>
      </c>
      <c r="BP253" s="128">
        <v>0.0</v>
      </c>
      <c r="BQ253" s="128">
        <v>0.0</v>
      </c>
      <c r="BR253" s="128">
        <v>0.0</v>
      </c>
      <c r="BS253" s="128">
        <v>0.0</v>
      </c>
      <c r="BT253" s="128">
        <v>0.0</v>
      </c>
      <c r="BU253" s="128">
        <v>0.0</v>
      </c>
      <c r="BV253" s="128">
        <v>0.0</v>
      </c>
      <c r="BW253" s="129">
        <v>0.0</v>
      </c>
      <c r="BX253" s="1"/>
      <c r="BY253" s="47"/>
      <c r="BZ253" s="47"/>
      <c r="CA253" s="47"/>
      <c r="CB253" s="47"/>
      <c r="CC253" s="47"/>
      <c r="CD253" s="47"/>
      <c r="CE253" s="47"/>
      <c r="CF253" s="47"/>
      <c r="CG253" s="47"/>
      <c r="CH253" s="47"/>
      <c r="CI253" s="47"/>
      <c r="CJ253" s="47"/>
      <c r="CK253" s="65"/>
      <c r="CL253" s="47"/>
      <c r="CM253" s="47"/>
      <c r="CN253" s="47"/>
      <c r="CO253" s="47"/>
      <c r="CP253" s="47"/>
      <c r="CQ253" s="47"/>
      <c r="CR253" s="47"/>
      <c r="CS253" s="47"/>
      <c r="CT253" s="47"/>
      <c r="CU253" s="47"/>
      <c r="CV253" s="47"/>
      <c r="CW253" s="47"/>
      <c r="CX253" s="47"/>
      <c r="CY253" s="65"/>
      <c r="CZ253" s="11"/>
      <c r="DA253" s="47">
        <f>IFERROR(DA106-DA232,0)</f>
        <v>0</v>
      </c>
      <c r="DB253" s="47"/>
      <c r="DC253" s="47"/>
      <c r="DD253" s="47"/>
      <c r="DE253" s="47"/>
      <c r="DF253" s="47"/>
      <c r="DG253" s="47"/>
      <c r="DH253" s="47"/>
      <c r="DI253" s="47"/>
      <c r="DJ253" s="47"/>
      <c r="DK253" s="47"/>
      <c r="DL253" s="47"/>
      <c r="DM253" s="65">
        <f t="shared" si="1301"/>
        <v>0</v>
      </c>
      <c r="DN253" s="1"/>
      <c r="DO253" s="206"/>
      <c r="DP253" s="206"/>
      <c r="DQ253" s="131"/>
    </row>
    <row r="254" outlineLevel="1">
      <c r="A254" s="124"/>
      <c r="B254" s="123" t="s">
        <v>237</v>
      </c>
      <c r="C254" s="196"/>
      <c r="D254" s="47">
        <f t="shared" ref="D254:G254" si="1327">iferror(D108-D233,0)</f>
        <v>0</v>
      </c>
      <c r="E254" s="47">
        <f t="shared" si="1327"/>
        <v>0</v>
      </c>
      <c r="F254" s="47">
        <f t="shared" si="1327"/>
        <v>0</v>
      </c>
      <c r="G254" s="47">
        <f t="shared" si="1327"/>
        <v>0</v>
      </c>
      <c r="H254" s="96"/>
      <c r="I254" s="66">
        <f t="shared" si="1280"/>
        <v>0</v>
      </c>
      <c r="J254" s="60">
        <f t="shared" si="1281"/>
        <v>0</v>
      </c>
      <c r="K254" s="66">
        <f t="shared" si="1282"/>
        <v>0</v>
      </c>
      <c r="L254" s="60">
        <f t="shared" si="1283"/>
        <v>0</v>
      </c>
      <c r="M254" s="66">
        <f t="shared" si="1284"/>
        <v>0</v>
      </c>
      <c r="N254" s="60">
        <f t="shared" si="1285"/>
        <v>0</v>
      </c>
      <c r="O254" s="96"/>
      <c r="P254" s="47">
        <f t="shared" ref="P254:R254" si="1328">iferror(P108-P233,0)</f>
        <v>0</v>
      </c>
      <c r="Q254" s="47">
        <f t="shared" si="1328"/>
        <v>0</v>
      </c>
      <c r="R254" s="47">
        <f t="shared" si="1328"/>
        <v>0</v>
      </c>
      <c r="S254" s="96"/>
      <c r="T254" s="66">
        <f t="shared" si="1287"/>
        <v>0</v>
      </c>
      <c r="U254" s="60">
        <f t="shared" si="1288"/>
        <v>0</v>
      </c>
      <c r="V254" s="66">
        <f t="shared" si="1289"/>
        <v>0</v>
      </c>
      <c r="W254" s="60">
        <f t="shared" si="1290"/>
        <v>0</v>
      </c>
      <c r="X254" s="96"/>
      <c r="Y254" s="47">
        <f t="shared" ref="Y254:AB254" si="1329">iferror(Y108-Y233,0)</f>
        <v>0</v>
      </c>
      <c r="Z254" s="47">
        <f t="shared" si="1329"/>
        <v>0</v>
      </c>
      <c r="AA254" s="47">
        <f t="shared" si="1329"/>
        <v>0</v>
      </c>
      <c r="AB254" s="47">
        <f t="shared" si="1329"/>
        <v>0</v>
      </c>
      <c r="AC254" s="96"/>
      <c r="AD254" s="66">
        <f t="shared" si="1292"/>
        <v>0</v>
      </c>
      <c r="AE254" s="60">
        <f t="shared" si="1293"/>
        <v>0</v>
      </c>
      <c r="AF254" s="66">
        <f t="shared" si="1294"/>
        <v>0</v>
      </c>
      <c r="AG254" s="60">
        <f t="shared" si="1295"/>
        <v>0</v>
      </c>
      <c r="AH254" s="126"/>
      <c r="AI254" s="47">
        <f t="shared" ref="AI254:AT254" si="1330">IFERROR(AI108-AI233,0)</f>
        <v>0</v>
      </c>
      <c r="AJ254" s="47">
        <f t="shared" si="1330"/>
        <v>0</v>
      </c>
      <c r="AK254" s="47">
        <f t="shared" si="1330"/>
        <v>0</v>
      </c>
      <c r="AL254" s="47">
        <f t="shared" si="1330"/>
        <v>0</v>
      </c>
      <c r="AM254" s="47">
        <f t="shared" si="1330"/>
        <v>0</v>
      </c>
      <c r="AN254" s="47">
        <f t="shared" si="1330"/>
        <v>0</v>
      </c>
      <c r="AO254" s="47">
        <f t="shared" si="1330"/>
        <v>0</v>
      </c>
      <c r="AP254" s="47">
        <f t="shared" si="1330"/>
        <v>0</v>
      </c>
      <c r="AQ254" s="47">
        <f t="shared" si="1330"/>
        <v>0</v>
      </c>
      <c r="AR254" s="47">
        <f t="shared" si="1330"/>
        <v>0</v>
      </c>
      <c r="AS254" s="47">
        <f t="shared" si="1330"/>
        <v>0</v>
      </c>
      <c r="AT254" s="47">
        <f t="shared" si="1330"/>
        <v>0</v>
      </c>
      <c r="AU254" s="65">
        <f t="shared" si="1297"/>
        <v>0</v>
      </c>
      <c r="AV254" s="197"/>
      <c r="AW254" s="47">
        <f t="shared" ref="AW254:BH254" si="1331">IFERROR(AW108-AW233,0)</f>
        <v>0</v>
      </c>
      <c r="AX254" s="47">
        <f t="shared" si="1331"/>
        <v>0</v>
      </c>
      <c r="AY254" s="47">
        <f t="shared" si="1331"/>
        <v>0</v>
      </c>
      <c r="AZ254" s="47">
        <f t="shared" si="1331"/>
        <v>0</v>
      </c>
      <c r="BA254" s="47">
        <f t="shared" si="1331"/>
        <v>0</v>
      </c>
      <c r="BB254" s="47">
        <f t="shared" si="1331"/>
        <v>0</v>
      </c>
      <c r="BC254" s="47">
        <f t="shared" si="1331"/>
        <v>0</v>
      </c>
      <c r="BD254" s="47">
        <f t="shared" si="1331"/>
        <v>0</v>
      </c>
      <c r="BE254" s="47">
        <f t="shared" si="1331"/>
        <v>0</v>
      </c>
      <c r="BF254" s="47">
        <f t="shared" si="1331"/>
        <v>0</v>
      </c>
      <c r="BG254" s="47">
        <f t="shared" si="1331"/>
        <v>0</v>
      </c>
      <c r="BH254" s="47">
        <f t="shared" si="1331"/>
        <v>0</v>
      </c>
      <c r="BI254" s="65">
        <f t="shared" si="1299"/>
        <v>0</v>
      </c>
      <c r="BJ254" s="126"/>
      <c r="BK254" s="128">
        <v>0.0</v>
      </c>
      <c r="BL254" s="128">
        <v>0.0</v>
      </c>
      <c r="BM254" s="128">
        <v>0.0</v>
      </c>
      <c r="BN254" s="128">
        <v>0.0</v>
      </c>
      <c r="BO254" s="128">
        <v>0.0</v>
      </c>
      <c r="BP254" s="128">
        <v>0.0</v>
      </c>
      <c r="BQ254" s="128">
        <v>0.0</v>
      </c>
      <c r="BR254" s="128">
        <v>0.0</v>
      </c>
      <c r="BS254" s="128">
        <v>0.0</v>
      </c>
      <c r="BT254" s="128">
        <v>0.0</v>
      </c>
      <c r="BU254" s="128">
        <v>0.0</v>
      </c>
      <c r="BV254" s="128">
        <v>0.0</v>
      </c>
      <c r="BW254" s="129">
        <v>0.0</v>
      </c>
      <c r="BX254" s="1"/>
      <c r="BY254" s="47"/>
      <c r="BZ254" s="47"/>
      <c r="CA254" s="47"/>
      <c r="CB254" s="47"/>
      <c r="CC254" s="47"/>
      <c r="CD254" s="47"/>
      <c r="CE254" s="47"/>
      <c r="CF254" s="47"/>
      <c r="CG254" s="47"/>
      <c r="CH254" s="47"/>
      <c r="CI254" s="47"/>
      <c r="CJ254" s="47"/>
      <c r="CK254" s="65"/>
      <c r="CL254" s="47"/>
      <c r="CM254" s="47"/>
      <c r="CN254" s="47"/>
      <c r="CO254" s="47"/>
      <c r="CP254" s="47"/>
      <c r="CQ254" s="47"/>
      <c r="CR254" s="47"/>
      <c r="CS254" s="47"/>
      <c r="CT254" s="47"/>
      <c r="CU254" s="47"/>
      <c r="CV254" s="47"/>
      <c r="CW254" s="47"/>
      <c r="CX254" s="47"/>
      <c r="CY254" s="65"/>
      <c r="CZ254" s="11"/>
      <c r="DA254" s="47">
        <f>IFERROR(DA108-DA233,0)</f>
        <v>0</v>
      </c>
      <c r="DB254" s="47"/>
      <c r="DC254" s="47"/>
      <c r="DD254" s="47"/>
      <c r="DE254" s="47"/>
      <c r="DF254" s="47"/>
      <c r="DG254" s="47"/>
      <c r="DH254" s="47"/>
      <c r="DI254" s="47"/>
      <c r="DJ254" s="47"/>
      <c r="DK254" s="47"/>
      <c r="DL254" s="47"/>
      <c r="DM254" s="65">
        <f t="shared" si="1301"/>
        <v>0</v>
      </c>
      <c r="DN254" s="1"/>
      <c r="DO254" s="206"/>
      <c r="DP254" s="206"/>
      <c r="DQ254" s="131"/>
    </row>
    <row r="255" outlineLevel="1">
      <c r="A255" s="124"/>
      <c r="B255" s="184" t="s">
        <v>139</v>
      </c>
      <c r="C255" s="196"/>
      <c r="D255" s="157">
        <f t="shared" ref="D255:G255" si="1332">SUM(D247:D254)</f>
        <v>0</v>
      </c>
      <c r="E255" s="157">
        <f t="shared" si="1332"/>
        <v>0</v>
      </c>
      <c r="F255" s="157">
        <f t="shared" si="1332"/>
        <v>12201.2857</v>
      </c>
      <c r="G255" s="157">
        <f t="shared" si="1332"/>
        <v>0</v>
      </c>
      <c r="H255" s="125"/>
      <c r="I255" s="75">
        <f t="shared" si="1280"/>
        <v>0</v>
      </c>
      <c r="J255" s="60">
        <f t="shared" si="1281"/>
        <v>0</v>
      </c>
      <c r="K255" s="75">
        <f t="shared" si="1282"/>
        <v>-12201.2857</v>
      </c>
      <c r="L255" s="60">
        <f t="shared" si="1283"/>
        <v>-1</v>
      </c>
      <c r="M255" s="75">
        <f t="shared" si="1284"/>
        <v>0</v>
      </c>
      <c r="N255" s="60">
        <f t="shared" si="1285"/>
        <v>0</v>
      </c>
      <c r="O255" s="125"/>
      <c r="P255" s="157">
        <f t="shared" ref="P255:R255" si="1333">SUM(P247:P254)</f>
        <v>0</v>
      </c>
      <c r="Q255" s="157">
        <f t="shared" si="1333"/>
        <v>50259.5301</v>
      </c>
      <c r="R255" s="157">
        <f t="shared" si="1333"/>
        <v>0</v>
      </c>
      <c r="S255" s="125"/>
      <c r="T255" s="75">
        <f t="shared" si="1287"/>
        <v>-50259.5301</v>
      </c>
      <c r="U255" s="60">
        <f t="shared" si="1288"/>
        <v>-1</v>
      </c>
      <c r="V255" s="75">
        <f t="shared" si="1289"/>
        <v>0</v>
      </c>
      <c r="W255" s="60">
        <f t="shared" si="1290"/>
        <v>0</v>
      </c>
      <c r="X255" s="125"/>
      <c r="Y255" s="157">
        <f t="shared" ref="Y255:AB255" si="1334">SUM(Y247:Y254)</f>
        <v>30423.6924</v>
      </c>
      <c r="Z255" s="157">
        <f t="shared" si="1334"/>
        <v>92535.031</v>
      </c>
      <c r="AA255" s="157">
        <f t="shared" si="1334"/>
        <v>142794.5617</v>
      </c>
      <c r="AB255" s="157">
        <f t="shared" si="1334"/>
        <v>0</v>
      </c>
      <c r="AC255" s="125"/>
      <c r="AD255" s="75">
        <f t="shared" si="1292"/>
        <v>-112370.8693</v>
      </c>
      <c r="AE255" s="60">
        <f t="shared" si="1293"/>
        <v>-0.7869408188</v>
      </c>
      <c r="AF255" s="75">
        <f t="shared" si="1294"/>
        <v>30423.6924</v>
      </c>
      <c r="AG255" s="60">
        <f t="shared" si="1295"/>
        <v>0</v>
      </c>
      <c r="AH255" s="126"/>
      <c r="AI255" s="157">
        <f t="shared" ref="AI255:AU255" si="1335">SUM(AI247:AI254)</f>
        <v>0</v>
      </c>
      <c r="AJ255" s="157">
        <f t="shared" si="1335"/>
        <v>0</v>
      </c>
      <c r="AK255" s="157">
        <f t="shared" si="1335"/>
        <v>0</v>
      </c>
      <c r="AL255" s="157">
        <f t="shared" si="1335"/>
        <v>0</v>
      </c>
      <c r="AM255" s="157">
        <f t="shared" si="1335"/>
        <v>0</v>
      </c>
      <c r="AN255" s="157">
        <f t="shared" si="1335"/>
        <v>0</v>
      </c>
      <c r="AO255" s="157">
        <f t="shared" si="1335"/>
        <v>0</v>
      </c>
      <c r="AP255" s="157">
        <f t="shared" si="1335"/>
        <v>0</v>
      </c>
      <c r="AQ255" s="157">
        <f t="shared" si="1335"/>
        <v>0</v>
      </c>
      <c r="AR255" s="157">
        <f t="shared" si="1335"/>
        <v>13351.5243</v>
      </c>
      <c r="AS255" s="157">
        <f t="shared" si="1335"/>
        <v>7873.2786</v>
      </c>
      <c r="AT255" s="157">
        <f t="shared" si="1335"/>
        <v>9198.8895</v>
      </c>
      <c r="AU255" s="157">
        <f t="shared" si="1335"/>
        <v>30423.6924</v>
      </c>
      <c r="AV255" s="127"/>
      <c r="AW255" s="157">
        <f t="shared" ref="AW255:BI255" si="1336">SUM(AW247:AW254)</f>
        <v>0</v>
      </c>
      <c r="AX255" s="157">
        <f t="shared" si="1336"/>
        <v>0</v>
      </c>
      <c r="AY255" s="157">
        <f t="shared" si="1336"/>
        <v>0</v>
      </c>
      <c r="AZ255" s="157">
        <f t="shared" si="1336"/>
        <v>0</v>
      </c>
      <c r="BA255" s="157">
        <f t="shared" si="1336"/>
        <v>0</v>
      </c>
      <c r="BB255" s="157">
        <f t="shared" si="1336"/>
        <v>0</v>
      </c>
      <c r="BC255" s="157">
        <f t="shared" si="1336"/>
        <v>23691.8436</v>
      </c>
      <c r="BD255" s="157">
        <f t="shared" si="1336"/>
        <v>21601.4394</v>
      </c>
      <c r="BE255" s="157">
        <f t="shared" si="1336"/>
        <v>16818.0556</v>
      </c>
      <c r="BF255" s="157">
        <f t="shared" si="1336"/>
        <v>13351.5243</v>
      </c>
      <c r="BG255" s="157">
        <f t="shared" si="1336"/>
        <v>7873.2786</v>
      </c>
      <c r="BH255" s="157">
        <f t="shared" si="1336"/>
        <v>9198.8895</v>
      </c>
      <c r="BI255" s="157">
        <f t="shared" si="1336"/>
        <v>92535.031</v>
      </c>
      <c r="BJ255" s="126"/>
      <c r="BK255" s="158">
        <v>10695.706</v>
      </c>
      <c r="BL255" s="158">
        <v>7861.5084</v>
      </c>
      <c r="BM255" s="158">
        <v>6270.1917</v>
      </c>
      <c r="BN255" s="158">
        <v>6700.5236</v>
      </c>
      <c r="BO255" s="158">
        <v>6530.3151</v>
      </c>
      <c r="BP255" s="158">
        <v>12201.2859</v>
      </c>
      <c r="BQ255" s="158">
        <v>23691.8437</v>
      </c>
      <c r="BR255" s="158">
        <v>21601.4394</v>
      </c>
      <c r="BS255" s="158">
        <v>16818.0557</v>
      </c>
      <c r="BT255" s="158">
        <v>13351.5243</v>
      </c>
      <c r="BU255" s="158">
        <v>7873.2786</v>
      </c>
      <c r="BV255" s="158">
        <v>9198.8896</v>
      </c>
      <c r="BW255" s="158">
        <v>142794.5618</v>
      </c>
      <c r="BX255" s="1"/>
      <c r="BY255" s="157"/>
      <c r="BZ255" s="157"/>
      <c r="CA255" s="157"/>
      <c r="CB255" s="157"/>
      <c r="CC255" s="157"/>
      <c r="CD255" s="157"/>
      <c r="CE255" s="157"/>
      <c r="CF255" s="157"/>
      <c r="CG255" s="157"/>
      <c r="CH255" s="157"/>
      <c r="CI255" s="157"/>
      <c r="CJ255" s="157"/>
      <c r="CK255" s="157"/>
      <c r="CL255" s="47"/>
      <c r="CM255" s="157"/>
      <c r="CN255" s="157"/>
      <c r="CO255" s="157"/>
      <c r="CP255" s="157"/>
      <c r="CQ255" s="157"/>
      <c r="CR255" s="157"/>
      <c r="CS255" s="157"/>
      <c r="CT255" s="157"/>
      <c r="CU255" s="157"/>
      <c r="CV255" s="157"/>
      <c r="CW255" s="157"/>
      <c r="CX255" s="157"/>
      <c r="CY255" s="157"/>
      <c r="CZ255" s="11"/>
      <c r="DA255" s="157">
        <f>SUM(DA247:DA254)</f>
        <v>10695.7059</v>
      </c>
      <c r="DB255" s="157"/>
      <c r="DC255" s="157"/>
      <c r="DD255" s="157"/>
      <c r="DE255" s="157"/>
      <c r="DF255" s="157"/>
      <c r="DG255" s="157"/>
      <c r="DH255" s="157"/>
      <c r="DI255" s="157"/>
      <c r="DJ255" s="157"/>
      <c r="DK255" s="157"/>
      <c r="DL255" s="157"/>
      <c r="DM255" s="157">
        <f>SUM(DM247:DM254)</f>
        <v>10695.7059</v>
      </c>
      <c r="DN255" s="1"/>
      <c r="DO255" s="206"/>
      <c r="DP255" s="206"/>
      <c r="DQ255" s="131"/>
    </row>
    <row r="256" outlineLevel="1">
      <c r="A256" s="15"/>
      <c r="B256" s="124"/>
      <c r="C256" s="196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6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161"/>
      <c r="AV256" s="127"/>
      <c r="AW256" s="47"/>
      <c r="AX256" s="47"/>
      <c r="AY256" s="47"/>
      <c r="AZ256" s="47"/>
      <c r="BA256" s="47"/>
      <c r="BB256" s="47"/>
      <c r="BC256" s="47"/>
      <c r="BD256" s="47"/>
      <c r="BE256" s="47"/>
      <c r="BF256" s="47"/>
      <c r="BG256" s="47"/>
      <c r="BH256" s="47"/>
      <c r="BI256" s="161"/>
      <c r="BJ256" s="126"/>
      <c r="BK256" s="47"/>
      <c r="BL256" s="47"/>
      <c r="BM256" s="47"/>
      <c r="BN256" s="47"/>
      <c r="BO256" s="47"/>
      <c r="BP256" s="47"/>
      <c r="BQ256" s="47"/>
      <c r="BR256" s="47"/>
      <c r="BS256" s="47"/>
      <c r="BT256" s="47"/>
      <c r="BU256" s="47"/>
      <c r="BV256" s="47"/>
      <c r="BW256" s="161"/>
      <c r="BX256" s="1"/>
      <c r="BY256" s="246"/>
      <c r="BZ256" s="246"/>
      <c r="CA256" s="246"/>
      <c r="CB256" s="246"/>
      <c r="CC256" s="246"/>
      <c r="CD256" s="246"/>
      <c r="CE256" s="246"/>
      <c r="CF256" s="246"/>
      <c r="CG256" s="246"/>
      <c r="CH256" s="246"/>
      <c r="CI256" s="246"/>
      <c r="CJ256" s="246"/>
      <c r="CK256" s="247"/>
      <c r="CL256" s="47"/>
      <c r="CM256" s="47"/>
      <c r="CN256" s="47"/>
      <c r="CO256" s="47"/>
      <c r="CP256" s="47"/>
      <c r="CQ256" s="47"/>
      <c r="CR256" s="47"/>
      <c r="CS256" s="47"/>
      <c r="CT256" s="47"/>
      <c r="CU256" s="47"/>
      <c r="CV256" s="47"/>
      <c r="CW256" s="47"/>
      <c r="CX256" s="47"/>
      <c r="CY256" s="161"/>
      <c r="CZ256" s="11"/>
      <c r="DA256" s="95"/>
      <c r="DB256" s="95"/>
      <c r="DC256" s="95"/>
      <c r="DD256" s="95"/>
      <c r="DE256" s="95"/>
      <c r="DF256" s="95"/>
      <c r="DG256" s="95"/>
      <c r="DH256" s="95"/>
      <c r="DI256" s="95"/>
      <c r="DJ256" s="95"/>
      <c r="DK256" s="95"/>
      <c r="DL256" s="95"/>
      <c r="DM256" s="162"/>
      <c r="DN256" s="1"/>
      <c r="DO256" s="206"/>
      <c r="DP256" s="206"/>
      <c r="DQ256" s="131"/>
    </row>
    <row r="257" outlineLevel="1">
      <c r="A257" s="15"/>
      <c r="B257" s="184" t="s">
        <v>32</v>
      </c>
      <c r="C257" s="196"/>
      <c r="D257" s="157">
        <f t="shared" ref="D257:G257" si="1337">SUM(D135,D165,D170:D172,D174:D175,D178:D185,D190:D198,D201,D204:D205,D206,D221:D222,D234)</f>
        <v>0</v>
      </c>
      <c r="E257" s="157">
        <f t="shared" si="1337"/>
        <v>0</v>
      </c>
      <c r="F257" s="157">
        <f t="shared" si="1337"/>
        <v>161235.1462</v>
      </c>
      <c r="G257" s="157">
        <f t="shared" si="1337"/>
        <v>0</v>
      </c>
      <c r="H257" s="125"/>
      <c r="I257" s="75">
        <f t="shared" ref="I257:I258" si="1343">E257-D257</f>
        <v>0</v>
      </c>
      <c r="J257" s="251">
        <f t="shared" ref="J257:J258" si="1344">IFERROR(I257/ABS(E257),0)</f>
        <v>0</v>
      </c>
      <c r="K257" s="75">
        <f t="shared" ref="K257:K258" si="1345">F257-D257</f>
        <v>161235.1462</v>
      </c>
      <c r="L257" s="251">
        <f t="shared" ref="L257:L258" si="1346">IFERROR(K257/ABS(F257),0)</f>
        <v>1</v>
      </c>
      <c r="M257" s="75">
        <f t="shared" ref="M257:M258" si="1347">G257-D257</f>
        <v>0</v>
      </c>
      <c r="N257" s="251">
        <f t="shared" ref="N257:N258" si="1348">IFERROR(M257/ABS(G257),0)</f>
        <v>0</v>
      </c>
      <c r="O257" s="125"/>
      <c r="P257" s="157">
        <f t="shared" ref="P257:R257" si="1338">SUM(P135,P165,P170:P172,P174:P175,P178:P185,P190:P198,P201,P204:P205,P206,P221:P222,P234)</f>
        <v>0</v>
      </c>
      <c r="Q257" s="157">
        <f t="shared" si="1338"/>
        <v>896747.3763</v>
      </c>
      <c r="R257" s="157">
        <f t="shared" si="1338"/>
        <v>0</v>
      </c>
      <c r="S257" s="125"/>
      <c r="T257" s="75">
        <f t="shared" ref="T257:T258" si="1350">Q257-P257</f>
        <v>896747.3763</v>
      </c>
      <c r="U257" s="251">
        <f t="shared" ref="U257:U258" si="1351">IFERROR(T257/ABS(Q257),0)</f>
        <v>1</v>
      </c>
      <c r="V257" s="75">
        <f t="shared" ref="V257:V258" si="1352">R257-P257</f>
        <v>0</v>
      </c>
      <c r="W257" s="251">
        <f t="shared" ref="W257:W258" si="1353">IFERROR(V257/ABS(R257),0)</f>
        <v>0</v>
      </c>
      <c r="X257" s="125"/>
      <c r="Y257" s="157">
        <f t="shared" ref="Y257:AB257" si="1339">SUM(Y135,Y165,Y170:Y172,Y174:Y175,Y178:Y185,Y190:Y198,Y201,Y204:Y205,Y206,Y221:Y222,Y234)</f>
        <v>654459.907</v>
      </c>
      <c r="Z257" s="157">
        <f t="shared" si="1339"/>
        <v>1490392.788</v>
      </c>
      <c r="AA257" s="157">
        <f t="shared" si="1339"/>
        <v>2387140.163</v>
      </c>
      <c r="AB257" s="157">
        <f t="shared" si="1339"/>
        <v>0</v>
      </c>
      <c r="AC257" s="125"/>
      <c r="AD257" s="75">
        <f t="shared" ref="AD257:AD258" si="1355">AA257-Y257</f>
        <v>1732680.256</v>
      </c>
      <c r="AE257" s="251">
        <f t="shared" ref="AE257:AE258" si="1356">IFERROR(AD257/ABS(AA257),0)</f>
        <v>0.7258393466</v>
      </c>
      <c r="AF257" s="75">
        <f t="shared" ref="AF257:AF258" si="1357">AB257-Y257</f>
        <v>-654459.907</v>
      </c>
      <c r="AG257" s="251">
        <f t="shared" ref="AG257:AG258" si="1358">IFERROR(AF257/ABS(AB257),0)</f>
        <v>0</v>
      </c>
      <c r="AH257" s="126"/>
      <c r="AI257" s="157">
        <f t="shared" ref="AI257:AU257" si="1340">SUM(AI135,AI165,AI170:AI172,AI174:AI175,AI178:AI185,AI190:AI198,AI201,AI204:AI205,AI206,AI221:AI222,AI234)</f>
        <v>0</v>
      </c>
      <c r="AJ257" s="157">
        <f t="shared" si="1340"/>
        <v>0</v>
      </c>
      <c r="AK257" s="157">
        <f t="shared" si="1340"/>
        <v>0</v>
      </c>
      <c r="AL257" s="157">
        <f t="shared" si="1340"/>
        <v>0</v>
      </c>
      <c r="AM257" s="157">
        <f t="shared" si="1340"/>
        <v>0</v>
      </c>
      <c r="AN257" s="157">
        <f t="shared" si="1340"/>
        <v>0</v>
      </c>
      <c r="AO257" s="157">
        <f t="shared" si="1340"/>
        <v>0</v>
      </c>
      <c r="AP257" s="157">
        <f t="shared" si="1340"/>
        <v>0</v>
      </c>
      <c r="AQ257" s="157">
        <f t="shared" si="1340"/>
        <v>0</v>
      </c>
      <c r="AR257" s="157">
        <f t="shared" si="1340"/>
        <v>277663.2829</v>
      </c>
      <c r="AS257" s="157">
        <f t="shared" si="1340"/>
        <v>182544.6784</v>
      </c>
      <c r="AT257" s="157">
        <f t="shared" si="1340"/>
        <v>194251.9457</v>
      </c>
      <c r="AU257" s="157">
        <f t="shared" si="1340"/>
        <v>654459.907</v>
      </c>
      <c r="AV257" s="127"/>
      <c r="AW257" s="157">
        <f t="shared" ref="AW257:BI257" si="1341">SUM(AW135,AW165,AW170:AW172,AW174:AW175,AW178:AW185,AW190:AW198,AW201,AW204:AW205,AW206,AW221:AW222,AW234)</f>
        <v>0</v>
      </c>
      <c r="AX257" s="157">
        <f t="shared" si="1341"/>
        <v>0</v>
      </c>
      <c r="AY257" s="157">
        <f t="shared" si="1341"/>
        <v>0</v>
      </c>
      <c r="AZ257" s="157">
        <f t="shared" si="1341"/>
        <v>0</v>
      </c>
      <c r="BA257" s="157">
        <f t="shared" si="1341"/>
        <v>0</v>
      </c>
      <c r="BB257" s="157">
        <f t="shared" si="1341"/>
        <v>0</v>
      </c>
      <c r="BC257" s="157">
        <f t="shared" si="1341"/>
        <v>278694.9253</v>
      </c>
      <c r="BD257" s="157">
        <f t="shared" si="1341"/>
        <v>296554.4241</v>
      </c>
      <c r="BE257" s="157">
        <f t="shared" si="1341"/>
        <v>260683.5312</v>
      </c>
      <c r="BF257" s="157">
        <f t="shared" si="1341"/>
        <v>277663.2829</v>
      </c>
      <c r="BG257" s="157">
        <f t="shared" si="1341"/>
        <v>182544.6784</v>
      </c>
      <c r="BH257" s="157">
        <f t="shared" si="1341"/>
        <v>194251.9457</v>
      </c>
      <c r="BI257" s="157">
        <f t="shared" si="1341"/>
        <v>1490392.788</v>
      </c>
      <c r="BJ257" s="126"/>
      <c r="BK257" s="158">
        <v>159481.1182</v>
      </c>
      <c r="BL257" s="158">
        <v>156564.4606</v>
      </c>
      <c r="BM257" s="158">
        <v>132057.5391</v>
      </c>
      <c r="BN257" s="158">
        <v>132477.4921</v>
      </c>
      <c r="BO257" s="158">
        <v>154931.6199</v>
      </c>
      <c r="BP257" s="158">
        <v>161235.146</v>
      </c>
      <c r="BQ257" s="158">
        <v>278694.9253</v>
      </c>
      <c r="BR257" s="158">
        <v>296554.4242</v>
      </c>
      <c r="BS257" s="158">
        <v>260683.5311</v>
      </c>
      <c r="BT257" s="158">
        <v>277663.283</v>
      </c>
      <c r="BU257" s="158">
        <v>182544.6784</v>
      </c>
      <c r="BV257" s="158">
        <v>194251.9456</v>
      </c>
      <c r="BW257" s="158">
        <v>2387140.1633</v>
      </c>
      <c r="BX257" s="1"/>
      <c r="BY257" s="122" t="str">
        <f>IFERROR(__xludf.DUMMYFUNCTION("IMPORTRANGE(""https://docs.google.com/spreadsheets/d/1V8IaVwMUPxXd6JggEGDDNiTF6LzvvhVQT1xNNukB_5c/edit?usp=sharing"",""SRM!cm236:cy237"")"),"#REF!")</f>
        <v>#REF!</v>
      </c>
      <c r="BZ257" s="157"/>
      <c r="CA257" s="157"/>
      <c r="CB257" s="157"/>
      <c r="CC257" s="157"/>
      <c r="CD257" s="157"/>
      <c r="CE257" s="157"/>
      <c r="CF257" s="157"/>
      <c r="CG257" s="157"/>
      <c r="CH257" s="157"/>
      <c r="CI257" s="157"/>
      <c r="CJ257" s="157"/>
      <c r="CK257" s="157"/>
      <c r="CL257" s="47"/>
      <c r="CM257" s="157"/>
      <c r="CN257" s="157"/>
      <c r="CO257" s="157"/>
      <c r="CP257" s="157"/>
      <c r="CQ257" s="157"/>
      <c r="CR257" s="157"/>
      <c r="CS257" s="157"/>
      <c r="CT257" s="157"/>
      <c r="CU257" s="157"/>
      <c r="CV257" s="157"/>
      <c r="CW257" s="157"/>
      <c r="CX257" s="157"/>
      <c r="CY257" s="157"/>
      <c r="CZ257" s="11"/>
      <c r="DA257" s="157">
        <f>SUM(DA135,DA165,DA170:DA172,DA174:DA175,DA178:DA185,DA190:DA198,DA201,DA204:DA205,DA206,DA221:DA222,DA234)</f>
        <v>159481.1182</v>
      </c>
      <c r="DB257" s="157"/>
      <c r="DC257" s="157"/>
      <c r="DD257" s="157"/>
      <c r="DE257" s="157"/>
      <c r="DF257" s="157"/>
      <c r="DG257" s="157"/>
      <c r="DH257" s="157"/>
      <c r="DI257" s="157"/>
      <c r="DJ257" s="157"/>
      <c r="DK257" s="157"/>
      <c r="DL257" s="157"/>
      <c r="DM257" s="157">
        <f>SUM(DM135,DM165,DM170:DM172,DM174:DM175,DM178:DM185,DM190:DM198,DM201,DM204:DM205,DM206,DM221:DM222,DM234)</f>
        <v>159481.1182</v>
      </c>
      <c r="DN257" s="1"/>
      <c r="DO257" s="206"/>
      <c r="DP257" s="206"/>
      <c r="DQ257" s="131"/>
    </row>
    <row r="258">
      <c r="A258" s="51"/>
      <c r="B258" s="184" t="s">
        <v>33</v>
      </c>
      <c r="C258" s="185"/>
      <c r="D258" s="157">
        <f t="shared" ref="D258:G258" si="1342">SUM(D89,D173,D189,D177,D176)</f>
        <v>0</v>
      </c>
      <c r="E258" s="157">
        <f t="shared" si="1342"/>
        <v>0</v>
      </c>
      <c r="F258" s="157">
        <f t="shared" si="1342"/>
        <v>131552.716</v>
      </c>
      <c r="G258" s="157">
        <f t="shared" si="1342"/>
        <v>0</v>
      </c>
      <c r="H258" s="125"/>
      <c r="I258" s="75">
        <f t="shared" si="1343"/>
        <v>0</v>
      </c>
      <c r="J258" s="251">
        <f t="shared" si="1344"/>
        <v>0</v>
      </c>
      <c r="K258" s="75">
        <f t="shared" si="1345"/>
        <v>131552.716</v>
      </c>
      <c r="L258" s="252">
        <f t="shared" si="1346"/>
        <v>1</v>
      </c>
      <c r="M258" s="75">
        <f t="shared" si="1347"/>
        <v>0</v>
      </c>
      <c r="N258" s="253">
        <f t="shared" si="1348"/>
        <v>0</v>
      </c>
      <c r="O258" s="125"/>
      <c r="P258" s="157">
        <f t="shared" ref="P258:R258" si="1349">SUM(P89,P173,P189,P177,P176)</f>
        <v>0</v>
      </c>
      <c r="Q258" s="157">
        <f t="shared" si="1349"/>
        <v>612941.123</v>
      </c>
      <c r="R258" s="157">
        <f t="shared" si="1349"/>
        <v>0</v>
      </c>
      <c r="S258" s="125"/>
      <c r="T258" s="75">
        <f t="shared" si="1350"/>
        <v>612941.123</v>
      </c>
      <c r="U258" s="251">
        <f t="shared" si="1351"/>
        <v>1</v>
      </c>
      <c r="V258" s="75">
        <f t="shared" si="1352"/>
        <v>0</v>
      </c>
      <c r="W258" s="251">
        <f t="shared" si="1353"/>
        <v>0</v>
      </c>
      <c r="X258" s="125"/>
      <c r="Y258" s="157">
        <f t="shared" ref="Y258:AB258" si="1354">SUM(Y89,Y173,Y189,Y177,Y176)</f>
        <v>391663.365</v>
      </c>
      <c r="Z258" s="157">
        <f t="shared" si="1354"/>
        <v>1049400.516</v>
      </c>
      <c r="AA258" s="157">
        <f t="shared" si="1354"/>
        <v>1662341.639</v>
      </c>
      <c r="AB258" s="157">
        <f t="shared" si="1354"/>
        <v>0</v>
      </c>
      <c r="AC258" s="125"/>
      <c r="AD258" s="75">
        <f t="shared" si="1355"/>
        <v>1270678.274</v>
      </c>
      <c r="AE258" s="251">
        <f t="shared" si="1356"/>
        <v>0.7643905706</v>
      </c>
      <c r="AF258" s="75">
        <f t="shared" si="1357"/>
        <v>-391663.365</v>
      </c>
      <c r="AG258" s="251">
        <f t="shared" si="1358"/>
        <v>0</v>
      </c>
      <c r="AH258" s="254"/>
      <c r="AI258" s="157">
        <f t="shared" ref="AI258:AU258" si="1359">SUM(AI89,AI173,AI189,AI177,AI176)</f>
        <v>0</v>
      </c>
      <c r="AJ258" s="157">
        <f t="shared" si="1359"/>
        <v>0</v>
      </c>
      <c r="AK258" s="157">
        <f t="shared" si="1359"/>
        <v>0</v>
      </c>
      <c r="AL258" s="157">
        <f t="shared" si="1359"/>
        <v>0</v>
      </c>
      <c r="AM258" s="157">
        <f t="shared" si="1359"/>
        <v>0</v>
      </c>
      <c r="AN258" s="157">
        <f t="shared" si="1359"/>
        <v>0</v>
      </c>
      <c r="AO258" s="157">
        <f t="shared" si="1359"/>
        <v>0</v>
      </c>
      <c r="AP258" s="157">
        <f t="shared" si="1359"/>
        <v>0</v>
      </c>
      <c r="AQ258" s="157">
        <f t="shared" si="1359"/>
        <v>0</v>
      </c>
      <c r="AR258" s="157">
        <f t="shared" si="1359"/>
        <v>192022.833</v>
      </c>
      <c r="AS258" s="157">
        <f t="shared" si="1359"/>
        <v>91798.191</v>
      </c>
      <c r="AT258" s="157">
        <f t="shared" si="1359"/>
        <v>107842.341</v>
      </c>
      <c r="AU258" s="157">
        <f t="shared" si="1359"/>
        <v>391663.365</v>
      </c>
      <c r="AV258" s="127"/>
      <c r="AW258" s="157">
        <f t="shared" ref="AW258:BI258" si="1360">SUM(AW89,AW173,AW189,AW177,AW176)</f>
        <v>0</v>
      </c>
      <c r="AX258" s="157">
        <f t="shared" si="1360"/>
        <v>0</v>
      </c>
      <c r="AY258" s="157">
        <f t="shared" si="1360"/>
        <v>0</v>
      </c>
      <c r="AZ258" s="157">
        <f t="shared" si="1360"/>
        <v>0</v>
      </c>
      <c r="BA258" s="157">
        <f t="shared" si="1360"/>
        <v>0</v>
      </c>
      <c r="BB258" s="157">
        <f t="shared" si="1360"/>
        <v>0</v>
      </c>
      <c r="BC258" s="157">
        <f t="shared" si="1360"/>
        <v>234705.953</v>
      </c>
      <c r="BD258" s="157">
        <f t="shared" si="1360"/>
        <v>229732.362</v>
      </c>
      <c r="BE258" s="157">
        <f t="shared" si="1360"/>
        <v>193298.836</v>
      </c>
      <c r="BF258" s="157">
        <f t="shared" si="1360"/>
        <v>192022.833</v>
      </c>
      <c r="BG258" s="157">
        <f t="shared" si="1360"/>
        <v>91798.191</v>
      </c>
      <c r="BH258" s="157">
        <f t="shared" si="1360"/>
        <v>107842.341</v>
      </c>
      <c r="BI258" s="157">
        <f t="shared" si="1360"/>
        <v>1049400.516</v>
      </c>
      <c r="BJ258" s="254"/>
      <c r="BK258" s="158">
        <v>130039.401</v>
      </c>
      <c r="BL258" s="158">
        <v>121731.918</v>
      </c>
      <c r="BM258" s="158">
        <v>80202.201</v>
      </c>
      <c r="BN258" s="158">
        <v>67335.258</v>
      </c>
      <c r="BO258" s="158">
        <v>82079.629</v>
      </c>
      <c r="BP258" s="158">
        <v>131552.716</v>
      </c>
      <c r="BQ258" s="158">
        <v>234705.953</v>
      </c>
      <c r="BR258" s="158">
        <v>229732.362</v>
      </c>
      <c r="BS258" s="158">
        <v>193298.836</v>
      </c>
      <c r="BT258" s="158">
        <v>192022.833</v>
      </c>
      <c r="BU258" s="158">
        <v>91798.191</v>
      </c>
      <c r="BV258" s="158">
        <v>107842.341</v>
      </c>
      <c r="BW258" s="158">
        <v>1662341.639</v>
      </c>
      <c r="BX258" s="255"/>
      <c r="BY258" s="157"/>
      <c r="BZ258" s="157"/>
      <c r="CA258" s="157"/>
      <c r="CB258" s="157"/>
      <c r="CC258" s="157"/>
      <c r="CD258" s="157"/>
      <c r="CE258" s="157"/>
      <c r="CF258" s="157"/>
      <c r="CG258" s="157"/>
      <c r="CH258" s="157"/>
      <c r="CI258" s="157"/>
      <c r="CJ258" s="157"/>
      <c r="CK258" s="157"/>
      <c r="CL258" s="256"/>
      <c r="CM258" s="157"/>
      <c r="CN258" s="157"/>
      <c r="CO258" s="157"/>
      <c r="CP258" s="157"/>
      <c r="CQ258" s="157"/>
      <c r="CR258" s="157"/>
      <c r="CS258" s="157"/>
      <c r="CT258" s="157"/>
      <c r="CU258" s="157"/>
      <c r="CV258" s="157"/>
      <c r="CW258" s="157"/>
      <c r="CX258" s="157"/>
      <c r="CY258" s="157"/>
      <c r="CZ258" s="257"/>
      <c r="DA258" s="157">
        <f>SUM(DA89,DA173,DA189,DA177,DA176)</f>
        <v>130039.401</v>
      </c>
      <c r="DB258" s="157"/>
      <c r="DC258" s="157"/>
      <c r="DD258" s="157"/>
      <c r="DE258" s="157"/>
      <c r="DF258" s="157"/>
      <c r="DG258" s="157"/>
      <c r="DH258" s="157"/>
      <c r="DI258" s="157"/>
      <c r="DJ258" s="157"/>
      <c r="DK258" s="157"/>
      <c r="DL258" s="157"/>
      <c r="DM258" s="157">
        <f>SUM(DM89,DM173,DM189,DM177,DM176)</f>
        <v>130039.401</v>
      </c>
      <c r="DN258" s="1"/>
      <c r="DO258" s="160"/>
      <c r="DP258" s="160"/>
      <c r="DQ258" s="186"/>
    </row>
    <row r="259">
      <c r="A259" s="51"/>
      <c r="B259" s="156"/>
      <c r="C259" s="124"/>
      <c r="D259" s="258"/>
      <c r="E259" s="258"/>
      <c r="F259" s="258"/>
      <c r="G259" s="258"/>
      <c r="H259" s="48"/>
      <c r="I259" s="259"/>
      <c r="J259" s="96"/>
      <c r="K259" s="259"/>
      <c r="L259" s="96"/>
      <c r="M259" s="259"/>
      <c r="N259" s="96"/>
      <c r="O259" s="48"/>
      <c r="P259" s="258"/>
      <c r="Q259" s="258"/>
      <c r="R259" s="258"/>
      <c r="S259" s="48"/>
      <c r="T259" s="259"/>
      <c r="U259" s="96"/>
      <c r="V259" s="259"/>
      <c r="W259" s="96"/>
      <c r="X259" s="48"/>
      <c r="Y259" s="258"/>
      <c r="Z259" s="258"/>
      <c r="AA259" s="258"/>
      <c r="AB259" s="258"/>
      <c r="AC259" s="48"/>
      <c r="AD259" s="259"/>
      <c r="AE259" s="96"/>
      <c r="AF259" s="259"/>
      <c r="AG259" s="96"/>
      <c r="AH259" s="254"/>
      <c r="AI259" s="260"/>
      <c r="AJ259" s="260"/>
      <c r="AK259" s="260"/>
      <c r="AL259" s="260"/>
      <c r="AM259" s="260"/>
      <c r="AN259" s="260"/>
      <c r="AO259" s="260"/>
      <c r="AP259" s="260"/>
      <c r="AQ259" s="260"/>
      <c r="AR259" s="260"/>
      <c r="AS259" s="260"/>
      <c r="AT259" s="260"/>
      <c r="AU259" s="260"/>
      <c r="AV259" s="55"/>
      <c r="AW259" s="260"/>
      <c r="AX259" s="260"/>
      <c r="AY259" s="260"/>
      <c r="AZ259" s="260"/>
      <c r="BA259" s="260"/>
      <c r="BB259" s="260"/>
      <c r="BC259" s="260"/>
      <c r="BD259" s="260"/>
      <c r="BE259" s="260"/>
      <c r="BF259" s="260"/>
      <c r="BG259" s="260"/>
      <c r="BH259" s="260"/>
      <c r="BI259" s="260"/>
      <c r="BJ259" s="254"/>
      <c r="BK259" s="260"/>
      <c r="BL259" s="260"/>
      <c r="BM259" s="260"/>
      <c r="BN259" s="260"/>
      <c r="BO259" s="260"/>
      <c r="BP259" s="260"/>
      <c r="BQ259" s="260"/>
      <c r="BR259" s="260"/>
      <c r="BS259" s="260"/>
      <c r="BT259" s="260"/>
      <c r="BU259" s="260"/>
      <c r="BV259" s="260"/>
      <c r="BW259" s="260"/>
      <c r="BX259" s="255"/>
      <c r="BY259" s="261"/>
      <c r="BZ259" s="261"/>
      <c r="CA259" s="261"/>
      <c r="CB259" s="261"/>
      <c r="CC259" s="261"/>
      <c r="CD259" s="261"/>
      <c r="CE259" s="261"/>
      <c r="CF259" s="261"/>
      <c r="CG259" s="261"/>
      <c r="CH259" s="261"/>
      <c r="CI259" s="261"/>
      <c r="CJ259" s="261"/>
      <c r="CK259" s="261"/>
      <c r="CL259" s="256"/>
      <c r="CM259" s="260"/>
      <c r="CN259" s="260"/>
      <c r="CO259" s="260"/>
      <c r="CP259" s="260"/>
      <c r="CQ259" s="260"/>
      <c r="CR259" s="260"/>
      <c r="CS259" s="260"/>
      <c r="CT259" s="260"/>
      <c r="CU259" s="260"/>
      <c r="CV259" s="260"/>
      <c r="CW259" s="260"/>
      <c r="CX259" s="260"/>
      <c r="CY259" s="260"/>
      <c r="CZ259" s="257"/>
      <c r="DA259" s="258"/>
      <c r="DB259" s="258"/>
      <c r="DC259" s="258"/>
      <c r="DD259" s="258"/>
      <c r="DE259" s="258"/>
      <c r="DF259" s="258"/>
      <c r="DG259" s="258"/>
      <c r="DH259" s="258"/>
      <c r="DI259" s="258"/>
      <c r="DJ259" s="258"/>
      <c r="DK259" s="258"/>
      <c r="DL259" s="258"/>
      <c r="DM259" s="258"/>
      <c r="DN259" s="1"/>
      <c r="DO259" s="160"/>
      <c r="DP259" s="160"/>
      <c r="DQ259" s="186"/>
    </row>
    <row r="260">
      <c r="A260" s="51"/>
      <c r="B260" s="107" t="s">
        <v>238</v>
      </c>
      <c r="C260" s="156"/>
      <c r="D260" s="157">
        <f t="shared" ref="D260:G260" si="1361">D89+D135+D165+D186+D223+D234</f>
        <v>0</v>
      </c>
      <c r="E260" s="157">
        <f t="shared" si="1361"/>
        <v>0</v>
      </c>
      <c r="F260" s="157">
        <f t="shared" si="1361"/>
        <v>292787.8622</v>
      </c>
      <c r="G260" s="157">
        <f t="shared" si="1361"/>
        <v>0</v>
      </c>
      <c r="H260" s="48"/>
      <c r="I260" s="75">
        <f>E260-D260</f>
        <v>0</v>
      </c>
      <c r="J260" s="144">
        <f>IFERROR(I260/ABS(E260),0)</f>
        <v>0</v>
      </c>
      <c r="K260" s="75">
        <f>F260-D260</f>
        <v>292787.8622</v>
      </c>
      <c r="L260" s="144">
        <f>IFERROR(K260/ABS(F260),0)</f>
        <v>1</v>
      </c>
      <c r="M260" s="75">
        <f>G260-D260</f>
        <v>0</v>
      </c>
      <c r="N260" s="144">
        <f>IFERROR(M260/ABS(G260),0)</f>
        <v>0</v>
      </c>
      <c r="O260" s="48"/>
      <c r="P260" s="157">
        <f t="shared" ref="P260:R260" si="1362">P89+P135+P165+P186+P223+P234</f>
        <v>0</v>
      </c>
      <c r="Q260" s="157">
        <f t="shared" si="1362"/>
        <v>1509688.499</v>
      </c>
      <c r="R260" s="157">
        <f t="shared" si="1362"/>
        <v>0</v>
      </c>
      <c r="S260" s="48"/>
      <c r="T260" s="75">
        <f>Q260-P260</f>
        <v>1509688.499</v>
      </c>
      <c r="U260" s="60">
        <f>IFERROR(T260/ABS(Q260),0)</f>
        <v>1</v>
      </c>
      <c r="V260" s="75">
        <f>R260-P260</f>
        <v>0</v>
      </c>
      <c r="W260" s="60">
        <f>IFERROR(V260/ABS(R260),0)</f>
        <v>0</v>
      </c>
      <c r="X260" s="48"/>
      <c r="Y260" s="157">
        <f t="shared" ref="Y260:AB260" si="1363">Y89+Y135+Y165+Y186+Y223+Y234</f>
        <v>1046123.272</v>
      </c>
      <c r="Z260" s="157">
        <f t="shared" si="1363"/>
        <v>2539793.304</v>
      </c>
      <c r="AA260" s="157">
        <f t="shared" si="1363"/>
        <v>4049481.802</v>
      </c>
      <c r="AB260" s="157">
        <f t="shared" si="1363"/>
        <v>0</v>
      </c>
      <c r="AC260" s="48"/>
      <c r="AD260" s="75">
        <f>AA260-Y260</f>
        <v>3003358.53</v>
      </c>
      <c r="AE260" s="262">
        <f>IFERROR(AD260/ABS(AA260),0)</f>
        <v>0.7416649035</v>
      </c>
      <c r="AF260" s="75">
        <f>AB260-Y260</f>
        <v>-1046123.272</v>
      </c>
      <c r="AG260" s="262">
        <f>IFERROR(AF260/ABS(AB260),0)</f>
        <v>0</v>
      </c>
      <c r="AH260" s="56"/>
      <c r="AI260" s="157">
        <f t="shared" ref="AI260:AU260" si="1364">AI89+AI135+AI165+AI186+AI223+AI234</f>
        <v>0</v>
      </c>
      <c r="AJ260" s="157">
        <f t="shared" si="1364"/>
        <v>0</v>
      </c>
      <c r="AK260" s="157">
        <f t="shared" si="1364"/>
        <v>0</v>
      </c>
      <c r="AL260" s="157">
        <f t="shared" si="1364"/>
        <v>0</v>
      </c>
      <c r="AM260" s="157">
        <f t="shared" si="1364"/>
        <v>0</v>
      </c>
      <c r="AN260" s="157">
        <f t="shared" si="1364"/>
        <v>0</v>
      </c>
      <c r="AO260" s="157">
        <f t="shared" si="1364"/>
        <v>0</v>
      </c>
      <c r="AP260" s="157">
        <f t="shared" si="1364"/>
        <v>0</v>
      </c>
      <c r="AQ260" s="157">
        <f t="shared" si="1364"/>
        <v>0</v>
      </c>
      <c r="AR260" s="157">
        <f t="shared" si="1364"/>
        <v>469686.1159</v>
      </c>
      <c r="AS260" s="157">
        <f t="shared" si="1364"/>
        <v>274342.8694</v>
      </c>
      <c r="AT260" s="157">
        <f t="shared" si="1364"/>
        <v>302094.2867</v>
      </c>
      <c r="AU260" s="157">
        <f t="shared" si="1364"/>
        <v>1046123.272</v>
      </c>
      <c r="AV260" s="55"/>
      <c r="AW260" s="157">
        <f t="shared" ref="AW260:BI260" si="1365">AW89+AW135+AW165+AW186+AW223+AW234</f>
        <v>0</v>
      </c>
      <c r="AX260" s="157">
        <f t="shared" si="1365"/>
        <v>0</v>
      </c>
      <c r="AY260" s="157">
        <f t="shared" si="1365"/>
        <v>0</v>
      </c>
      <c r="AZ260" s="157">
        <f t="shared" si="1365"/>
        <v>0</v>
      </c>
      <c r="BA260" s="157">
        <f t="shared" si="1365"/>
        <v>0</v>
      </c>
      <c r="BB260" s="157">
        <f t="shared" si="1365"/>
        <v>0</v>
      </c>
      <c r="BC260" s="157">
        <f t="shared" si="1365"/>
        <v>513400.8783</v>
      </c>
      <c r="BD260" s="157">
        <f t="shared" si="1365"/>
        <v>526286.7861</v>
      </c>
      <c r="BE260" s="157">
        <f t="shared" si="1365"/>
        <v>453982.3672</v>
      </c>
      <c r="BF260" s="157">
        <f t="shared" si="1365"/>
        <v>469686.1159</v>
      </c>
      <c r="BG260" s="157">
        <f t="shared" si="1365"/>
        <v>274342.8694</v>
      </c>
      <c r="BH260" s="157">
        <f t="shared" si="1365"/>
        <v>302094.2867</v>
      </c>
      <c r="BI260" s="157">
        <f t="shared" si="1365"/>
        <v>2539793.304</v>
      </c>
      <c r="BJ260" s="56"/>
      <c r="BK260" s="158">
        <v>289520.5192</v>
      </c>
      <c r="BL260" s="158">
        <v>278296.3786</v>
      </c>
      <c r="BM260" s="158">
        <v>212259.7401</v>
      </c>
      <c r="BN260" s="158">
        <v>199812.7501</v>
      </c>
      <c r="BO260" s="158">
        <v>237011.2489</v>
      </c>
      <c r="BP260" s="158">
        <v>292787.862</v>
      </c>
      <c r="BQ260" s="158">
        <v>513400.8783</v>
      </c>
      <c r="BR260" s="158">
        <v>526286.7862</v>
      </c>
      <c r="BS260" s="158">
        <v>453982.3671</v>
      </c>
      <c r="BT260" s="158">
        <v>469686.116</v>
      </c>
      <c r="BU260" s="158">
        <v>274342.8694</v>
      </c>
      <c r="BV260" s="158">
        <v>302094.2866</v>
      </c>
      <c r="BW260" s="158">
        <v>4049481.8023</v>
      </c>
      <c r="BX260" s="1"/>
      <c r="BY260" s="122" t="str">
        <f>IFERROR(__xludf.DUMMYFUNCTION("IMPORTRANGE(""https://docs.google.com/spreadsheets/d/1V8IaVwMUPxXd6JggEGDDNiTF6LzvvhVQT1xNNukB_5c/edit?usp=sharing"",""SRM!cm260:cy260"")"),"#REF!")</f>
        <v>#REF!</v>
      </c>
      <c r="BZ260" s="157"/>
      <c r="CA260" s="157"/>
      <c r="CB260" s="157"/>
      <c r="CC260" s="157"/>
      <c r="CD260" s="157"/>
      <c r="CE260" s="157"/>
      <c r="CF260" s="157"/>
      <c r="CG260" s="157"/>
      <c r="CH260" s="157"/>
      <c r="CI260" s="157"/>
      <c r="CJ260" s="157"/>
      <c r="CK260" s="157"/>
      <c r="CL260" s="159"/>
      <c r="CM260" s="157"/>
      <c r="CN260" s="157"/>
      <c r="CO260" s="157"/>
      <c r="CP260" s="157"/>
      <c r="CQ260" s="157"/>
      <c r="CR260" s="157"/>
      <c r="CS260" s="157"/>
      <c r="CT260" s="157"/>
      <c r="CU260" s="157"/>
      <c r="CV260" s="157"/>
      <c r="CW260" s="157"/>
      <c r="CX260" s="157"/>
      <c r="CY260" s="157"/>
      <c r="CZ260" s="11"/>
      <c r="DA260" s="157">
        <f>DA89+DA135+DA165+DA186+DA223+DA234</f>
        <v>289520.5192</v>
      </c>
      <c r="DB260" s="157"/>
      <c r="DC260" s="157"/>
      <c r="DD260" s="157"/>
      <c r="DE260" s="157"/>
      <c r="DF260" s="157"/>
      <c r="DG260" s="157"/>
      <c r="DH260" s="157"/>
      <c r="DI260" s="157"/>
      <c r="DJ260" s="157"/>
      <c r="DK260" s="157"/>
      <c r="DL260" s="157"/>
      <c r="DM260" s="157">
        <f>DM89+DM135+DM165+DM186+DM223+DM234</f>
        <v>289520.5192</v>
      </c>
      <c r="DN260" s="1"/>
      <c r="DO260" s="160"/>
      <c r="DP260" s="160"/>
      <c r="DQ260" s="186"/>
    </row>
    <row r="261">
      <c r="A261" s="15"/>
      <c r="B261" s="124"/>
      <c r="C261" s="124"/>
      <c r="D261" s="95"/>
      <c r="E261" s="95"/>
      <c r="F261" s="95"/>
      <c r="G261" s="95"/>
      <c r="H261" s="125"/>
      <c r="I261" s="125"/>
      <c r="J261" s="125"/>
      <c r="K261" s="125"/>
      <c r="L261" s="125"/>
      <c r="M261" s="125"/>
      <c r="N261" s="125"/>
      <c r="O261" s="125"/>
      <c r="P261" s="95"/>
      <c r="Q261" s="95"/>
      <c r="R261" s="95"/>
      <c r="S261" s="125"/>
      <c r="T261" s="125"/>
      <c r="U261" s="125"/>
      <c r="V261" s="125"/>
      <c r="W261" s="125"/>
      <c r="X261" s="125"/>
      <c r="Y261" s="95"/>
      <c r="Z261" s="95"/>
      <c r="AA261" s="95"/>
      <c r="AB261" s="95"/>
      <c r="AC261" s="125"/>
      <c r="AD261" s="125"/>
      <c r="AE261" s="125"/>
      <c r="AF261" s="125"/>
      <c r="AG261" s="125"/>
      <c r="AH261" s="126"/>
      <c r="AI261" s="47"/>
      <c r="AJ261" s="47"/>
      <c r="AK261" s="47"/>
      <c r="AL261" s="47"/>
      <c r="AM261" s="47"/>
      <c r="AN261" s="47"/>
      <c r="AO261" s="47"/>
      <c r="AP261" s="47"/>
      <c r="AQ261" s="47"/>
      <c r="AR261" s="47"/>
      <c r="AS261" s="47"/>
      <c r="AT261" s="47"/>
      <c r="AU261" s="47"/>
      <c r="AV261" s="127"/>
      <c r="AW261" s="47"/>
      <c r="AX261" s="47"/>
      <c r="AY261" s="47"/>
      <c r="AZ261" s="47"/>
      <c r="BA261" s="47"/>
      <c r="BB261" s="47"/>
      <c r="BC261" s="47"/>
      <c r="BD261" s="47"/>
      <c r="BE261" s="47"/>
      <c r="BF261" s="47"/>
      <c r="BG261" s="47"/>
      <c r="BH261" s="47"/>
      <c r="BI261" s="47"/>
      <c r="BJ261" s="126"/>
      <c r="BK261" s="47"/>
      <c r="BL261" s="47"/>
      <c r="BM261" s="47"/>
      <c r="BN261" s="47"/>
      <c r="BO261" s="47"/>
      <c r="BP261" s="47"/>
      <c r="BQ261" s="47"/>
      <c r="BR261" s="47"/>
      <c r="BS261" s="47"/>
      <c r="BT261" s="47"/>
      <c r="BU261" s="47"/>
      <c r="BV261" s="47"/>
      <c r="BW261" s="47"/>
      <c r="BX261" s="1"/>
      <c r="BY261" s="246"/>
      <c r="BZ261" s="246"/>
      <c r="CA261" s="246"/>
      <c r="CB261" s="246"/>
      <c r="CC261" s="246"/>
      <c r="CD261" s="246"/>
      <c r="CE261" s="246"/>
      <c r="CF261" s="246"/>
      <c r="CG261" s="246"/>
      <c r="CH261" s="246"/>
      <c r="CI261" s="246"/>
      <c r="CJ261" s="246"/>
      <c r="CK261" s="246"/>
      <c r="CL261" s="47"/>
      <c r="CM261" s="47"/>
      <c r="CN261" s="47"/>
      <c r="CO261" s="47"/>
      <c r="CP261" s="47"/>
      <c r="CQ261" s="47"/>
      <c r="CR261" s="47"/>
      <c r="CS261" s="47"/>
      <c r="CT261" s="47"/>
      <c r="CU261" s="47"/>
      <c r="CV261" s="47"/>
      <c r="CW261" s="47"/>
      <c r="CX261" s="47"/>
      <c r="CY261" s="47"/>
      <c r="CZ261" s="11"/>
      <c r="DA261" s="95"/>
      <c r="DB261" s="95"/>
      <c r="DC261" s="95"/>
      <c r="DD261" s="95"/>
      <c r="DE261" s="95"/>
      <c r="DF261" s="95"/>
      <c r="DG261" s="95"/>
      <c r="DH261" s="95"/>
      <c r="DI261" s="95"/>
      <c r="DJ261" s="95"/>
      <c r="DK261" s="95"/>
      <c r="DL261" s="95"/>
      <c r="DM261" s="95"/>
      <c r="DN261" s="1"/>
      <c r="DO261" s="206"/>
      <c r="DP261" s="206"/>
      <c r="DQ261" s="131"/>
    </row>
    <row r="262">
      <c r="A262" s="51"/>
      <c r="B262" s="107" t="s">
        <v>239</v>
      </c>
      <c r="C262" s="156"/>
      <c r="D262" s="157">
        <f t="shared" ref="D262:G262" si="1366">D87-D260</f>
        <v>0</v>
      </c>
      <c r="E262" s="157">
        <f t="shared" si="1366"/>
        <v>0</v>
      </c>
      <c r="F262" s="157">
        <f t="shared" si="1366"/>
        <v>158569.3235</v>
      </c>
      <c r="G262" s="157">
        <f t="shared" si="1366"/>
        <v>0</v>
      </c>
      <c r="H262" s="48"/>
      <c r="I262" s="75">
        <f>D262-E262</f>
        <v>0</v>
      </c>
      <c r="J262" s="60">
        <f>IFERROR(I262/(E262),0)</f>
        <v>0</v>
      </c>
      <c r="K262" s="75">
        <f>D262-F262</f>
        <v>-158569.3235</v>
      </c>
      <c r="L262" s="60">
        <f>IFERROR(K262/(F262),0)</f>
        <v>-1</v>
      </c>
      <c r="M262" s="75">
        <f>D262-G262</f>
        <v>0</v>
      </c>
      <c r="N262" s="60">
        <f>IFERROR(M262/G262,0)</f>
        <v>0</v>
      </c>
      <c r="O262" s="48"/>
      <c r="P262" s="157">
        <f t="shared" ref="P262:R262" si="1367">P87-P260</f>
        <v>0</v>
      </c>
      <c r="Q262" s="157">
        <f t="shared" si="1367"/>
        <v>595098.903</v>
      </c>
      <c r="R262" s="157">
        <f t="shared" si="1367"/>
        <v>0</v>
      </c>
      <c r="S262" s="48"/>
      <c r="T262" s="75">
        <f>P262-Q262</f>
        <v>-595098.903</v>
      </c>
      <c r="U262" s="60">
        <f>IFERROR(T262/Q262,0)</f>
        <v>-1</v>
      </c>
      <c r="V262" s="75">
        <f>P262-R262</f>
        <v>0</v>
      </c>
      <c r="W262" s="60">
        <f>IFERROR(V262/R262,0)</f>
        <v>0</v>
      </c>
      <c r="X262" s="48"/>
      <c r="Y262" s="157">
        <f t="shared" ref="Y262:AB262" si="1368">Y87-Y260</f>
        <v>575180.2663</v>
      </c>
      <c r="Z262" s="157">
        <f t="shared" si="1368"/>
        <v>1725314.147</v>
      </c>
      <c r="AA262" s="157">
        <f t="shared" si="1368"/>
        <v>2320413.051</v>
      </c>
      <c r="AB262" s="157">
        <f t="shared" si="1368"/>
        <v>0</v>
      </c>
      <c r="AC262" s="48"/>
      <c r="AD262" s="75">
        <f>Y262-AA262</f>
        <v>-1745232.784</v>
      </c>
      <c r="AE262" s="60">
        <f>IFERROR(AD262/AA262,0)</f>
        <v>-0.7521216035</v>
      </c>
      <c r="AF262" s="75">
        <f>Y262-AB262</f>
        <v>575180.2663</v>
      </c>
      <c r="AG262" s="60">
        <f>IFERROR(AF262/AB262,0)</f>
        <v>0</v>
      </c>
      <c r="AH262" s="56"/>
      <c r="AI262" s="157">
        <f t="shared" ref="AI262:AU262" si="1369">AI87-AI260</f>
        <v>0</v>
      </c>
      <c r="AJ262" s="157">
        <f t="shared" si="1369"/>
        <v>0</v>
      </c>
      <c r="AK262" s="157">
        <f t="shared" si="1369"/>
        <v>0</v>
      </c>
      <c r="AL262" s="157">
        <f t="shared" si="1369"/>
        <v>0</v>
      </c>
      <c r="AM262" s="157">
        <f t="shared" si="1369"/>
        <v>0</v>
      </c>
      <c r="AN262" s="157">
        <f t="shared" si="1369"/>
        <v>0</v>
      </c>
      <c r="AO262" s="157">
        <f t="shared" si="1369"/>
        <v>0</v>
      </c>
      <c r="AP262" s="157">
        <f t="shared" si="1369"/>
        <v>0</v>
      </c>
      <c r="AQ262" s="157">
        <f t="shared" si="1369"/>
        <v>0</v>
      </c>
      <c r="AR262" s="157">
        <f t="shared" si="1369"/>
        <v>346348.5799</v>
      </c>
      <c r="AS262" s="157">
        <f t="shared" si="1369"/>
        <v>106226.726</v>
      </c>
      <c r="AT262" s="157">
        <f t="shared" si="1369"/>
        <v>122604.9604</v>
      </c>
      <c r="AU262" s="157">
        <f t="shared" si="1369"/>
        <v>575180.2663</v>
      </c>
      <c r="AV262" s="55"/>
      <c r="AW262" s="157">
        <f t="shared" ref="AW262:BI262" si="1370">AW87-AW260</f>
        <v>0</v>
      </c>
      <c r="AX262" s="157">
        <f t="shared" si="1370"/>
        <v>0</v>
      </c>
      <c r="AY262" s="157">
        <f t="shared" si="1370"/>
        <v>0</v>
      </c>
      <c r="AZ262" s="157">
        <f t="shared" si="1370"/>
        <v>0</v>
      </c>
      <c r="BA262" s="157">
        <f t="shared" si="1370"/>
        <v>0</v>
      </c>
      <c r="BB262" s="157">
        <f t="shared" si="1370"/>
        <v>0</v>
      </c>
      <c r="BC262" s="157">
        <f t="shared" si="1370"/>
        <v>406870.4236</v>
      </c>
      <c r="BD262" s="157">
        <f t="shared" si="1370"/>
        <v>400164.5206</v>
      </c>
      <c r="BE262" s="157">
        <f t="shared" si="1370"/>
        <v>343098.9368</v>
      </c>
      <c r="BF262" s="157">
        <f t="shared" si="1370"/>
        <v>346348.5799</v>
      </c>
      <c r="BG262" s="157">
        <f t="shared" si="1370"/>
        <v>106226.726</v>
      </c>
      <c r="BH262" s="157">
        <f t="shared" si="1370"/>
        <v>122604.9604</v>
      </c>
      <c r="BI262" s="157">
        <f t="shared" si="1370"/>
        <v>1725314.147</v>
      </c>
      <c r="BJ262" s="56"/>
      <c r="BK262" s="158">
        <v>163386.5513</v>
      </c>
      <c r="BL262" s="158">
        <v>153068.8913</v>
      </c>
      <c r="BM262" s="158">
        <v>63157.121</v>
      </c>
      <c r="BN262" s="158">
        <v>15985.473</v>
      </c>
      <c r="BO262" s="158">
        <v>40931.543</v>
      </c>
      <c r="BP262" s="158">
        <v>158569.3238</v>
      </c>
      <c r="BQ262" s="158">
        <v>406870.4236</v>
      </c>
      <c r="BR262" s="158">
        <v>400164.5206</v>
      </c>
      <c r="BS262" s="158">
        <v>343098.9368</v>
      </c>
      <c r="BT262" s="158">
        <v>346348.5798</v>
      </c>
      <c r="BU262" s="158">
        <v>106226.726</v>
      </c>
      <c r="BV262" s="158">
        <v>122604.9605</v>
      </c>
      <c r="BW262" s="158">
        <v>2320413.0507</v>
      </c>
      <c r="BX262" s="1"/>
      <c r="BY262" s="122" t="str">
        <f>IFERROR(__xludf.DUMMYFUNCTION("IMPORTRANGE(""https://docs.google.com/spreadsheets/d/1V8IaVwMUPxXd6JggEGDDNiTF6LzvvhVQT1xNNukB_5c/edit?usp=sharing"",""SRM!cm262:cy283"")"),"#REF!")</f>
        <v>#REF!</v>
      </c>
      <c r="BZ262" s="157"/>
      <c r="CA262" s="157"/>
      <c r="CB262" s="157"/>
      <c r="CC262" s="157"/>
      <c r="CD262" s="157"/>
      <c r="CE262" s="157"/>
      <c r="CF262" s="157"/>
      <c r="CG262" s="157"/>
      <c r="CH262" s="157"/>
      <c r="CI262" s="157"/>
      <c r="CJ262" s="157"/>
      <c r="CK262" s="157"/>
      <c r="CL262" s="159"/>
      <c r="CM262" s="157"/>
      <c r="CN262" s="157"/>
      <c r="CO262" s="157"/>
      <c r="CP262" s="157"/>
      <c r="CQ262" s="157"/>
      <c r="CR262" s="157"/>
      <c r="CS262" s="157"/>
      <c r="CT262" s="157"/>
      <c r="CU262" s="157"/>
      <c r="CV262" s="157"/>
      <c r="CW262" s="157"/>
      <c r="CX262" s="157"/>
      <c r="CY262" s="157"/>
      <c r="CZ262" s="11"/>
      <c r="DA262" s="157">
        <f>DA87-DA260</f>
        <v>163386.5513</v>
      </c>
      <c r="DB262" s="157"/>
      <c r="DC262" s="157"/>
      <c r="DD262" s="157"/>
      <c r="DE262" s="157"/>
      <c r="DF262" s="157"/>
      <c r="DG262" s="157"/>
      <c r="DH262" s="157"/>
      <c r="DI262" s="157"/>
      <c r="DJ262" s="157"/>
      <c r="DK262" s="157"/>
      <c r="DL262" s="157"/>
      <c r="DM262" s="157">
        <f>DM87-DM260</f>
        <v>163386.5513</v>
      </c>
      <c r="DN262" s="1"/>
      <c r="DO262" s="160"/>
      <c r="DP262" s="160"/>
      <c r="DQ262" s="186"/>
    </row>
    <row r="263">
      <c r="A263" s="15"/>
      <c r="B263" s="124"/>
      <c r="C263" s="124"/>
      <c r="D263" s="95"/>
      <c r="E263" s="95"/>
      <c r="F263" s="95"/>
      <c r="G263" s="95"/>
      <c r="H263" s="125"/>
      <c r="I263" s="125"/>
      <c r="J263" s="125"/>
      <c r="K263" s="125"/>
      <c r="L263" s="125"/>
      <c r="M263" s="125"/>
      <c r="N263" s="125"/>
      <c r="O263" s="125"/>
      <c r="P263" s="95"/>
      <c r="Q263" s="95"/>
      <c r="R263" s="95"/>
      <c r="S263" s="125"/>
      <c r="T263" s="125"/>
      <c r="U263" s="125"/>
      <c r="V263" s="125"/>
      <c r="W263" s="125"/>
      <c r="X263" s="125"/>
      <c r="Y263" s="95"/>
      <c r="Z263" s="95"/>
      <c r="AA263" s="95"/>
      <c r="AB263" s="95"/>
      <c r="AC263" s="125"/>
      <c r="AD263" s="125"/>
      <c r="AE263" s="125"/>
      <c r="AF263" s="125"/>
      <c r="AG263" s="125"/>
      <c r="AH263" s="126"/>
      <c r="AI263" s="47"/>
      <c r="AJ263" s="47"/>
      <c r="AK263" s="47"/>
      <c r="AL263" s="47"/>
      <c r="AM263" s="47"/>
      <c r="AN263" s="47"/>
      <c r="AO263" s="47"/>
      <c r="AP263" s="47"/>
      <c r="AQ263" s="47"/>
      <c r="AR263" s="47"/>
      <c r="AS263" s="47"/>
      <c r="AT263" s="47"/>
      <c r="AU263" s="47"/>
      <c r="AV263" s="127"/>
      <c r="AW263" s="47"/>
      <c r="AX263" s="47"/>
      <c r="AY263" s="47"/>
      <c r="AZ263" s="47"/>
      <c r="BA263" s="47"/>
      <c r="BB263" s="47"/>
      <c r="BC263" s="47"/>
      <c r="BD263" s="47"/>
      <c r="BE263" s="47"/>
      <c r="BF263" s="47"/>
      <c r="BG263" s="47"/>
      <c r="BH263" s="47"/>
      <c r="BI263" s="47"/>
      <c r="BJ263" s="126"/>
      <c r="BK263" s="47"/>
      <c r="BL263" s="47"/>
      <c r="BM263" s="47"/>
      <c r="BN263" s="47"/>
      <c r="BO263" s="47"/>
      <c r="BP263" s="47"/>
      <c r="BQ263" s="47"/>
      <c r="BR263" s="47"/>
      <c r="BS263" s="47"/>
      <c r="BT263" s="47"/>
      <c r="BU263" s="47"/>
      <c r="BV263" s="47"/>
      <c r="BW263" s="47"/>
      <c r="BX263" s="1"/>
      <c r="BY263" s="246"/>
      <c r="BZ263" s="246"/>
      <c r="CA263" s="246"/>
      <c r="CB263" s="246"/>
      <c r="CC263" s="246"/>
      <c r="CD263" s="246"/>
      <c r="CE263" s="246"/>
      <c r="CF263" s="246"/>
      <c r="CG263" s="246"/>
      <c r="CH263" s="246"/>
      <c r="CI263" s="246"/>
      <c r="CJ263" s="246"/>
      <c r="CK263" s="246"/>
      <c r="CL263" s="47"/>
      <c r="CM263" s="47"/>
      <c r="CN263" s="47"/>
      <c r="CO263" s="47"/>
      <c r="CP263" s="47"/>
      <c r="CQ263" s="47"/>
      <c r="CR263" s="47"/>
      <c r="CS263" s="47"/>
      <c r="CT263" s="47"/>
      <c r="CU263" s="47"/>
      <c r="CV263" s="47"/>
      <c r="CW263" s="47"/>
      <c r="CX263" s="47"/>
      <c r="CY263" s="47"/>
      <c r="CZ263" s="11"/>
      <c r="DA263" s="95"/>
      <c r="DB263" s="95"/>
      <c r="DC263" s="95"/>
      <c r="DD263" s="95"/>
      <c r="DE263" s="95"/>
      <c r="DF263" s="95"/>
      <c r="DG263" s="95"/>
      <c r="DH263" s="95"/>
      <c r="DI263" s="95"/>
      <c r="DJ263" s="95"/>
      <c r="DK263" s="95"/>
      <c r="DL263" s="95"/>
      <c r="DM263" s="95"/>
      <c r="DN263" s="1"/>
      <c r="DO263" s="206"/>
      <c r="DP263" s="206"/>
      <c r="DQ263" s="131"/>
    </row>
    <row r="264">
      <c r="A264" s="196"/>
      <c r="B264" s="263" t="s">
        <v>240</v>
      </c>
      <c r="C264" s="196"/>
      <c r="D264" s="54">
        <f t="shared" ref="D264:G264" si="1371">IFERROR((D113-D135-(D234-D231))/D113,0)</f>
        <v>0</v>
      </c>
      <c r="E264" s="54">
        <f t="shared" si="1371"/>
        <v>0</v>
      </c>
      <c r="F264" s="54">
        <f t="shared" si="1371"/>
        <v>0.8795807975</v>
      </c>
      <c r="G264" s="54">
        <f t="shared" si="1371"/>
        <v>0</v>
      </c>
      <c r="H264" s="96"/>
      <c r="I264" s="53">
        <f t="shared" ref="I264:I266" si="1377">D264-E264</f>
        <v>0</v>
      </c>
      <c r="J264" s="67">
        <f t="shared" ref="J264:J266" si="1378">IFERROR(I264/(E264),0)</f>
        <v>0</v>
      </c>
      <c r="K264" s="53">
        <f t="shared" ref="K264:K266" si="1379">D264-F264</f>
        <v>-0.8795807975</v>
      </c>
      <c r="L264" s="67">
        <f t="shared" ref="L264:L266" si="1380">IFERROR(K264/(F264),0)</f>
        <v>-1</v>
      </c>
      <c r="M264" s="53">
        <f t="shared" ref="M264:M266" si="1381">D264-G264</f>
        <v>0</v>
      </c>
      <c r="N264" s="67">
        <f t="shared" ref="N264:N266" si="1382">IFERROR(M264/G264,0)</f>
        <v>0</v>
      </c>
      <c r="O264" s="96"/>
      <c r="P264" s="54">
        <f t="shared" ref="P264:R264" si="1372">IFERROR((P113-P135-(P234-P231))/P113,0)</f>
        <v>0</v>
      </c>
      <c r="Q264" s="54">
        <f t="shared" si="1372"/>
        <v>0.8589754131</v>
      </c>
      <c r="R264" s="54">
        <f t="shared" si="1372"/>
        <v>0</v>
      </c>
      <c r="S264" s="96"/>
      <c r="T264" s="53">
        <f t="shared" ref="T264:T266" si="1384">P264-Q264</f>
        <v>-0.8589754131</v>
      </c>
      <c r="U264" s="67">
        <f t="shared" ref="U264:U266" si="1385">IFERROR(T264/Q264,0)</f>
        <v>-1</v>
      </c>
      <c r="V264" s="53">
        <f t="shared" ref="V264:V266" si="1386">P264-R264</f>
        <v>0</v>
      </c>
      <c r="W264" s="67">
        <f t="shared" ref="W264:W266" si="1387">IFERROR(V264/R264,0)</f>
        <v>0</v>
      </c>
      <c r="X264" s="96"/>
      <c r="Y264" s="54">
        <f t="shared" ref="Y264:AB264" si="1373">IFERROR((Y113-Y135-(Y234-Y231))/Y113,0)</f>
        <v>0.9008014233</v>
      </c>
      <c r="Z264" s="54">
        <f t="shared" si="1373"/>
        <v>0.9023496912</v>
      </c>
      <c r="AA264" s="54">
        <f t="shared" si="1373"/>
        <v>0.8872010589</v>
      </c>
      <c r="AB264" s="54">
        <f t="shared" si="1373"/>
        <v>0</v>
      </c>
      <c r="AC264" s="96"/>
      <c r="AD264" s="53">
        <f t="shared" ref="AD264:AD266" si="1389">Y264-AA264</f>
        <v>0.01360036443</v>
      </c>
      <c r="AE264" s="67">
        <f t="shared" ref="AE264:AE266" si="1390">IFERROR(AD264/AA264,0)</f>
        <v>0.01532951781</v>
      </c>
      <c r="AF264" s="53">
        <f t="shared" ref="AF264:AF266" si="1391">Y264-AB264</f>
        <v>0.9008014233</v>
      </c>
      <c r="AG264" s="67">
        <f t="shared" ref="AG264:AG266" si="1392">IFERROR(AF264/AB264,0)</f>
        <v>0</v>
      </c>
      <c r="AH264" s="264"/>
      <c r="AI264" s="265">
        <f t="shared" ref="AI264:AU264" si="1374">IFERROR((AI113-AI135-(AI234-AI231))/AI113,0)</f>
        <v>0</v>
      </c>
      <c r="AJ264" s="265">
        <f t="shared" si="1374"/>
        <v>0</v>
      </c>
      <c r="AK264" s="265">
        <f t="shared" si="1374"/>
        <v>0</v>
      </c>
      <c r="AL264" s="265">
        <f t="shared" si="1374"/>
        <v>0</v>
      </c>
      <c r="AM264" s="265">
        <f t="shared" si="1374"/>
        <v>0</v>
      </c>
      <c r="AN264" s="265">
        <f t="shared" si="1374"/>
        <v>0</v>
      </c>
      <c r="AO264" s="265">
        <f t="shared" si="1374"/>
        <v>0</v>
      </c>
      <c r="AP264" s="265">
        <f t="shared" si="1374"/>
        <v>0</v>
      </c>
      <c r="AQ264" s="265">
        <f t="shared" si="1374"/>
        <v>0</v>
      </c>
      <c r="AR264" s="265">
        <f t="shared" si="1374"/>
        <v>0.9122111823</v>
      </c>
      <c r="AS264" s="265">
        <f t="shared" si="1374"/>
        <v>0.8914717413</v>
      </c>
      <c r="AT264" s="265">
        <f t="shared" si="1374"/>
        <v>0.8868989921</v>
      </c>
      <c r="AU264" s="265">
        <f t="shared" si="1374"/>
        <v>0.9008014233</v>
      </c>
      <c r="AV264" s="127"/>
      <c r="AW264" s="265">
        <f t="shared" ref="AW264:BI264" si="1375">IFERROR((AW113-AW135-(AW234-AW231))/AW113,0)</f>
        <v>0</v>
      </c>
      <c r="AX264" s="265">
        <f t="shared" si="1375"/>
        <v>0</v>
      </c>
      <c r="AY264" s="265">
        <f t="shared" si="1375"/>
        <v>0</v>
      </c>
      <c r="AZ264" s="265">
        <f t="shared" si="1375"/>
        <v>0</v>
      </c>
      <c r="BA264" s="265">
        <f t="shared" si="1375"/>
        <v>0</v>
      </c>
      <c r="BB264" s="265">
        <f t="shared" si="1375"/>
        <v>0</v>
      </c>
      <c r="BC264" s="265">
        <f t="shared" si="1375"/>
        <v>0.9005482532</v>
      </c>
      <c r="BD264" s="265">
        <f t="shared" si="1375"/>
        <v>0.9056225538</v>
      </c>
      <c r="BE264" s="265">
        <f t="shared" si="1375"/>
        <v>0.9037356344</v>
      </c>
      <c r="BF264" s="265">
        <f t="shared" si="1375"/>
        <v>0.9122111823</v>
      </c>
      <c r="BG264" s="265">
        <f t="shared" si="1375"/>
        <v>0.8914717413</v>
      </c>
      <c r="BH264" s="265">
        <f t="shared" si="1375"/>
        <v>0.8868989921</v>
      </c>
      <c r="BI264" s="265">
        <f t="shared" si="1375"/>
        <v>0.9023496912</v>
      </c>
      <c r="BJ264" s="264"/>
      <c r="BK264" s="266">
        <v>0.7412</v>
      </c>
      <c r="BL264" s="266">
        <v>0.7422</v>
      </c>
      <c r="BM264" s="266">
        <v>0.7327</v>
      </c>
      <c r="BN264" s="266">
        <v>0.6832</v>
      </c>
      <c r="BO264" s="266">
        <v>0.5927</v>
      </c>
      <c r="BP264" s="266">
        <v>0.7471</v>
      </c>
      <c r="BQ264" s="266">
        <v>0.6841</v>
      </c>
      <c r="BR264" s="266">
        <v>0.6432</v>
      </c>
      <c r="BS264" s="266">
        <v>0.6641</v>
      </c>
      <c r="BT264" s="266">
        <v>0.6218</v>
      </c>
      <c r="BU264" s="266">
        <v>0.5658</v>
      </c>
      <c r="BV264" s="266">
        <v>0.5791</v>
      </c>
      <c r="BW264" s="266">
        <v>0.6665</v>
      </c>
      <c r="BX264" s="195"/>
      <c r="BY264" s="54"/>
      <c r="BZ264" s="54"/>
      <c r="CA264" s="54"/>
      <c r="CB264" s="54"/>
      <c r="CC264" s="54"/>
      <c r="CD264" s="54"/>
      <c r="CE264" s="54"/>
      <c r="CF264" s="54"/>
      <c r="CG264" s="54"/>
      <c r="CH264" s="54"/>
      <c r="CI264" s="54"/>
      <c r="CJ264" s="54"/>
      <c r="CK264" s="54"/>
      <c r="CL264" s="265"/>
      <c r="CM264" s="265"/>
      <c r="CN264" s="265"/>
      <c r="CO264" s="265"/>
      <c r="CP264" s="265"/>
      <c r="CQ264" s="265"/>
      <c r="CR264" s="265"/>
      <c r="CS264" s="265"/>
      <c r="CT264" s="265"/>
      <c r="CU264" s="265"/>
      <c r="CV264" s="265"/>
      <c r="CW264" s="265"/>
      <c r="CX264" s="265"/>
      <c r="CY264" s="265"/>
      <c r="CZ264" s="11"/>
      <c r="DA264" s="265">
        <f>IFERROR((DA113-DA135-(DA234-DA231))/DA113,0)</f>
        <v>0.878750985</v>
      </c>
      <c r="DB264" s="265"/>
      <c r="DC264" s="265"/>
      <c r="DD264" s="265"/>
      <c r="DE264" s="265"/>
      <c r="DF264" s="265"/>
      <c r="DG264" s="265"/>
      <c r="DH264" s="265"/>
      <c r="DI264" s="265"/>
      <c r="DJ264" s="265"/>
      <c r="DK264" s="265"/>
      <c r="DL264" s="265"/>
      <c r="DM264" s="265">
        <f>IFERROR((DM113-DM135-(DM234-DM231))/DM113,0)</f>
        <v>0.878750985</v>
      </c>
      <c r="DN264" s="195"/>
      <c r="DO264" s="266"/>
      <c r="DP264" s="266"/>
      <c r="DQ264" s="205"/>
    </row>
    <row r="265">
      <c r="A265" s="196"/>
      <c r="B265" s="263" t="s">
        <v>241</v>
      </c>
      <c r="C265" s="196"/>
      <c r="D265" s="54">
        <f t="shared" ref="D265:G265" si="1376">IFERROR(D262/D87,0)</f>
        <v>0</v>
      </c>
      <c r="E265" s="54">
        <f t="shared" si="1376"/>
        <v>0</v>
      </c>
      <c r="F265" s="54">
        <f t="shared" si="1376"/>
        <v>0.3513167144</v>
      </c>
      <c r="G265" s="54">
        <f t="shared" si="1376"/>
        <v>0</v>
      </c>
      <c r="H265" s="96"/>
      <c r="I265" s="53">
        <f t="shared" si="1377"/>
        <v>0</v>
      </c>
      <c r="J265" s="67">
        <f t="shared" si="1378"/>
        <v>0</v>
      </c>
      <c r="K265" s="53">
        <f t="shared" si="1379"/>
        <v>-0.3513167144</v>
      </c>
      <c r="L265" s="67">
        <f t="shared" si="1380"/>
        <v>-1</v>
      </c>
      <c r="M265" s="53">
        <f t="shared" si="1381"/>
        <v>0</v>
      </c>
      <c r="N265" s="67">
        <f t="shared" si="1382"/>
        <v>0</v>
      </c>
      <c r="O265" s="96"/>
      <c r="P265" s="54">
        <f t="shared" ref="P265:R265" si="1383">IFERROR(P262/P87,0)</f>
        <v>0</v>
      </c>
      <c r="Q265" s="54">
        <f t="shared" si="1383"/>
        <v>0.2827358727</v>
      </c>
      <c r="R265" s="54">
        <f t="shared" si="1383"/>
        <v>0</v>
      </c>
      <c r="S265" s="96"/>
      <c r="T265" s="53">
        <f t="shared" si="1384"/>
        <v>-0.2827358727</v>
      </c>
      <c r="U265" s="67">
        <f t="shared" si="1385"/>
        <v>-1</v>
      </c>
      <c r="V265" s="53">
        <f t="shared" si="1386"/>
        <v>0</v>
      </c>
      <c r="W265" s="67">
        <f t="shared" si="1387"/>
        <v>0</v>
      </c>
      <c r="X265" s="96"/>
      <c r="Y265" s="54">
        <f t="shared" ref="Y265:AB265" si="1388">IFERROR(Y262/Y87,0)</f>
        <v>0.354764085</v>
      </c>
      <c r="Z265" s="54">
        <f t="shared" si="1388"/>
        <v>0.4045183309</v>
      </c>
      <c r="AA265" s="54">
        <f t="shared" si="1388"/>
        <v>0.3642780774</v>
      </c>
      <c r="AB265" s="54">
        <f t="shared" si="1388"/>
        <v>0</v>
      </c>
      <c r="AC265" s="96"/>
      <c r="AD265" s="53">
        <f t="shared" si="1389"/>
        <v>-0.009513992431</v>
      </c>
      <c r="AE265" s="67">
        <f t="shared" si="1390"/>
        <v>-0.02611738949</v>
      </c>
      <c r="AF265" s="53">
        <f t="shared" si="1391"/>
        <v>0.354764085</v>
      </c>
      <c r="AG265" s="67">
        <f t="shared" si="1392"/>
        <v>0</v>
      </c>
      <c r="AH265" s="264"/>
      <c r="AI265" s="265">
        <f t="shared" ref="AI265:AU265" si="1393">IFERROR(AI262/AI87,0)</f>
        <v>0</v>
      </c>
      <c r="AJ265" s="265">
        <f t="shared" si="1393"/>
        <v>0</v>
      </c>
      <c r="AK265" s="265">
        <f t="shared" si="1393"/>
        <v>0</v>
      </c>
      <c r="AL265" s="265">
        <f t="shared" si="1393"/>
        <v>0</v>
      </c>
      <c r="AM265" s="265">
        <f t="shared" si="1393"/>
        <v>0</v>
      </c>
      <c r="AN265" s="265">
        <f t="shared" si="1393"/>
        <v>0</v>
      </c>
      <c r="AO265" s="265">
        <f t="shared" si="1393"/>
        <v>0</v>
      </c>
      <c r="AP265" s="265">
        <f t="shared" si="1393"/>
        <v>0</v>
      </c>
      <c r="AQ265" s="265">
        <f t="shared" si="1393"/>
        <v>0</v>
      </c>
      <c r="AR265" s="265">
        <f t="shared" si="1393"/>
        <v>0.4244287427</v>
      </c>
      <c r="AS265" s="265">
        <f t="shared" si="1393"/>
        <v>0.2791256245</v>
      </c>
      <c r="AT265" s="265">
        <f t="shared" si="1393"/>
        <v>0.2886865499</v>
      </c>
      <c r="AU265" s="265">
        <f t="shared" si="1393"/>
        <v>0.354764085</v>
      </c>
      <c r="AV265" s="127"/>
      <c r="AW265" s="265">
        <f t="shared" ref="AW265:BI265" si="1394">IFERROR(AW262/AW87,0)</f>
        <v>0</v>
      </c>
      <c r="AX265" s="265">
        <f t="shared" si="1394"/>
        <v>0</v>
      </c>
      <c r="AY265" s="265">
        <f t="shared" si="1394"/>
        <v>0</v>
      </c>
      <c r="AZ265" s="265">
        <f t="shared" si="1394"/>
        <v>0</v>
      </c>
      <c r="BA265" s="265">
        <f t="shared" si="1394"/>
        <v>0</v>
      </c>
      <c r="BB265" s="265">
        <f t="shared" si="1394"/>
        <v>0</v>
      </c>
      <c r="BC265" s="265">
        <f t="shared" si="1394"/>
        <v>0.4421200822</v>
      </c>
      <c r="BD265" s="265">
        <f t="shared" si="1394"/>
        <v>0.4319325988</v>
      </c>
      <c r="BE265" s="265">
        <f t="shared" si="1394"/>
        <v>0.4304440903</v>
      </c>
      <c r="BF265" s="265">
        <f t="shared" si="1394"/>
        <v>0.4244287427</v>
      </c>
      <c r="BG265" s="265">
        <f t="shared" si="1394"/>
        <v>0.2791256245</v>
      </c>
      <c r="BH265" s="265">
        <f t="shared" si="1394"/>
        <v>0.2886865499</v>
      </c>
      <c r="BI265" s="265">
        <f t="shared" si="1394"/>
        <v>0.4045183309</v>
      </c>
      <c r="BJ265" s="264"/>
      <c r="BK265" s="266">
        <v>0.3608</v>
      </c>
      <c r="BL265" s="266">
        <v>0.3548</v>
      </c>
      <c r="BM265" s="266">
        <v>0.2293</v>
      </c>
      <c r="BN265" s="266">
        <v>0.0741</v>
      </c>
      <c r="BO265" s="266">
        <v>0.1473</v>
      </c>
      <c r="BP265" s="266">
        <v>0.3513</v>
      </c>
      <c r="BQ265" s="266">
        <v>0.4421</v>
      </c>
      <c r="BR265" s="266">
        <v>0.4319</v>
      </c>
      <c r="BS265" s="266">
        <v>0.4304</v>
      </c>
      <c r="BT265" s="266">
        <v>0.4244</v>
      </c>
      <c r="BU265" s="266">
        <v>0.2791</v>
      </c>
      <c r="BV265" s="266">
        <v>0.2887</v>
      </c>
      <c r="BW265" s="266">
        <v>0.3643</v>
      </c>
      <c r="BX265" s="195"/>
      <c r="BY265" s="54"/>
      <c r="BZ265" s="54"/>
      <c r="CA265" s="54"/>
      <c r="CB265" s="54"/>
      <c r="CC265" s="54"/>
      <c r="CD265" s="54"/>
      <c r="CE265" s="54"/>
      <c r="CF265" s="54"/>
      <c r="CG265" s="54"/>
      <c r="CH265" s="54"/>
      <c r="CI265" s="54"/>
      <c r="CJ265" s="54"/>
      <c r="CK265" s="54"/>
      <c r="CL265" s="265"/>
      <c r="CM265" s="265"/>
      <c r="CN265" s="265"/>
      <c r="CO265" s="265"/>
      <c r="CP265" s="265"/>
      <c r="CQ265" s="265"/>
      <c r="CR265" s="265"/>
      <c r="CS265" s="265"/>
      <c r="CT265" s="265"/>
      <c r="CU265" s="265"/>
      <c r="CV265" s="265"/>
      <c r="CW265" s="265"/>
      <c r="CX265" s="265"/>
      <c r="CY265" s="265"/>
      <c r="CZ265" s="11"/>
      <c r="DA265" s="265">
        <f>IFERROR(DA262/DA87,0)</f>
        <v>0.3607507189</v>
      </c>
      <c r="DB265" s="265"/>
      <c r="DC265" s="265"/>
      <c r="DD265" s="265"/>
      <c r="DE265" s="265"/>
      <c r="DF265" s="265"/>
      <c r="DG265" s="265"/>
      <c r="DH265" s="265"/>
      <c r="DI265" s="265"/>
      <c r="DJ265" s="265"/>
      <c r="DK265" s="265"/>
      <c r="DL265" s="265"/>
      <c r="DM265" s="265">
        <f>IFERROR(DM262/DM87,0)</f>
        <v>0.3607507189</v>
      </c>
      <c r="DN265" s="195"/>
      <c r="DO265" s="267"/>
      <c r="DP265" s="267"/>
      <c r="DQ265" s="205"/>
    </row>
    <row r="266">
      <c r="A266" s="196"/>
      <c r="B266" s="263" t="s">
        <v>242</v>
      </c>
      <c r="C266" s="196"/>
      <c r="D266" s="54">
        <f t="shared" ref="D266:G266" si="1395">IFERROR(D262/D113,0)</f>
        <v>0</v>
      </c>
      <c r="E266" s="54">
        <f t="shared" si="1395"/>
        <v>0</v>
      </c>
      <c r="F266" s="54">
        <f t="shared" si="1395"/>
        <v>0.4825794835</v>
      </c>
      <c r="G266" s="54">
        <f t="shared" si="1395"/>
        <v>0</v>
      </c>
      <c r="H266" s="96"/>
      <c r="I266" s="53">
        <f t="shared" si="1377"/>
        <v>0</v>
      </c>
      <c r="J266" s="67">
        <f t="shared" si="1378"/>
        <v>0</v>
      </c>
      <c r="K266" s="53">
        <f t="shared" si="1379"/>
        <v>-0.4825794835</v>
      </c>
      <c r="L266" s="67">
        <f t="shared" si="1380"/>
        <v>-1</v>
      </c>
      <c r="M266" s="53">
        <f t="shared" si="1381"/>
        <v>0</v>
      </c>
      <c r="N266" s="67">
        <f t="shared" si="1382"/>
        <v>0</v>
      </c>
      <c r="O266" s="96"/>
      <c r="P266" s="54">
        <f t="shared" ref="P266:R266" si="1396">IFERROR(P262/P113,0)</f>
        <v>0</v>
      </c>
      <c r="Q266" s="54">
        <f t="shared" si="1396"/>
        <v>0.3911392559</v>
      </c>
      <c r="R266" s="54">
        <f t="shared" si="1396"/>
        <v>0</v>
      </c>
      <c r="S266" s="96"/>
      <c r="T266" s="53">
        <f t="shared" si="1384"/>
        <v>-0.3911392559</v>
      </c>
      <c r="U266" s="67">
        <f t="shared" si="1385"/>
        <v>-1</v>
      </c>
      <c r="V266" s="53">
        <f t="shared" si="1386"/>
        <v>0</v>
      </c>
      <c r="W266" s="67">
        <f t="shared" si="1387"/>
        <v>0</v>
      </c>
      <c r="X266" s="96"/>
      <c r="Y266" s="54">
        <f t="shared" ref="Y266:AB266" si="1397">IFERROR(Y262/Y113,0)</f>
        <v>0.5481090465</v>
      </c>
      <c r="Z266" s="54">
        <f t="shared" si="1397"/>
        <v>0.6086112571</v>
      </c>
      <c r="AA266" s="54">
        <f t="shared" si="1397"/>
        <v>0.5326583295</v>
      </c>
      <c r="AB266" s="54">
        <f t="shared" si="1397"/>
        <v>0</v>
      </c>
      <c r="AC266" s="96"/>
      <c r="AD266" s="53">
        <f t="shared" si="1389"/>
        <v>0.01545071698</v>
      </c>
      <c r="AE266" s="67">
        <f t="shared" si="1390"/>
        <v>0.02900680628</v>
      </c>
      <c r="AF266" s="53">
        <f t="shared" si="1391"/>
        <v>0.5481090465</v>
      </c>
      <c r="AG266" s="67">
        <f t="shared" si="1392"/>
        <v>0</v>
      </c>
      <c r="AH266" s="264"/>
      <c r="AI266" s="265">
        <f t="shared" ref="AI266:AU266" si="1398">IFERROR(AI262/AI113,0)</f>
        <v>0</v>
      </c>
      <c r="AJ266" s="265">
        <f t="shared" si="1398"/>
        <v>0</v>
      </c>
      <c r="AK266" s="265">
        <f t="shared" si="1398"/>
        <v>0</v>
      </c>
      <c r="AL266" s="265">
        <f t="shared" si="1398"/>
        <v>0</v>
      </c>
      <c r="AM266" s="265">
        <f t="shared" si="1398"/>
        <v>0</v>
      </c>
      <c r="AN266" s="265">
        <f t="shared" si="1398"/>
        <v>0</v>
      </c>
      <c r="AO266" s="265">
        <f t="shared" si="1398"/>
        <v>0</v>
      </c>
      <c r="AP266" s="265">
        <f t="shared" si="1398"/>
        <v>0</v>
      </c>
      <c r="AQ266" s="265">
        <f t="shared" si="1398"/>
        <v>0</v>
      </c>
      <c r="AR266" s="265">
        <f t="shared" si="1398"/>
        <v>0.6504160636</v>
      </c>
      <c r="AS266" s="265">
        <f t="shared" si="1398"/>
        <v>0.4375104261</v>
      </c>
      <c r="AT266" s="265">
        <f t="shared" si="1398"/>
        <v>0.4473181701</v>
      </c>
      <c r="AU266" s="265">
        <f t="shared" si="1398"/>
        <v>0.5481090465</v>
      </c>
      <c r="AV266" s="127"/>
      <c r="AW266" s="265">
        <f t="shared" ref="AW266:BI266" si="1399">IFERROR(AW262/AW113,0)</f>
        <v>0</v>
      </c>
      <c r="AX266" s="265">
        <f t="shared" si="1399"/>
        <v>0</v>
      </c>
      <c r="AY266" s="265">
        <f t="shared" si="1399"/>
        <v>0</v>
      </c>
      <c r="AZ266" s="265">
        <f t="shared" si="1399"/>
        <v>0</v>
      </c>
      <c r="BA266" s="265">
        <f t="shared" si="1399"/>
        <v>0</v>
      </c>
      <c r="BB266" s="265">
        <f t="shared" si="1399"/>
        <v>0</v>
      </c>
      <c r="BC266" s="265">
        <f t="shared" si="1399"/>
        <v>0.6444835251</v>
      </c>
      <c r="BD266" s="265">
        <f t="shared" si="1399"/>
        <v>0.6495623299</v>
      </c>
      <c r="BE266" s="265">
        <f t="shared" si="1399"/>
        <v>0.6376324679</v>
      </c>
      <c r="BF266" s="265">
        <f t="shared" si="1399"/>
        <v>0.6504160636</v>
      </c>
      <c r="BG266" s="265">
        <f t="shared" si="1399"/>
        <v>0.4375104261</v>
      </c>
      <c r="BH266" s="265">
        <f t="shared" si="1399"/>
        <v>0.4473181701</v>
      </c>
      <c r="BI266" s="265">
        <f t="shared" si="1399"/>
        <v>0.6086112571</v>
      </c>
      <c r="BJ266" s="264"/>
      <c r="BK266" s="266">
        <v>0.4974</v>
      </c>
      <c r="BL266" s="266">
        <v>0.4861</v>
      </c>
      <c r="BM266" s="266">
        <v>0.3155</v>
      </c>
      <c r="BN266" s="266">
        <v>0.1001</v>
      </c>
      <c r="BO266" s="266">
        <v>0.2158</v>
      </c>
      <c r="BP266" s="266">
        <v>0.4826</v>
      </c>
      <c r="BQ266" s="266">
        <v>0.6445</v>
      </c>
      <c r="BR266" s="266">
        <v>0.6496</v>
      </c>
      <c r="BS266" s="266">
        <v>0.6376</v>
      </c>
      <c r="BT266" s="266">
        <v>0.6504</v>
      </c>
      <c r="BU266" s="266">
        <v>0.4375</v>
      </c>
      <c r="BV266" s="266">
        <v>0.4473</v>
      </c>
      <c r="BW266" s="266">
        <v>0.5327</v>
      </c>
      <c r="BX266" s="195"/>
      <c r="BY266" s="54"/>
      <c r="BZ266" s="54"/>
      <c r="CA266" s="54"/>
      <c r="CB266" s="54"/>
      <c r="CC266" s="54"/>
      <c r="CD266" s="54"/>
      <c r="CE266" s="54"/>
      <c r="CF266" s="54"/>
      <c r="CG266" s="54"/>
      <c r="CH266" s="54"/>
      <c r="CI266" s="54"/>
      <c r="CJ266" s="54"/>
      <c r="CK266" s="54"/>
      <c r="CL266" s="265"/>
      <c r="CM266" s="265"/>
      <c r="CN266" s="265"/>
      <c r="CO266" s="265"/>
      <c r="CP266" s="265"/>
      <c r="CQ266" s="265"/>
      <c r="CR266" s="265"/>
      <c r="CS266" s="265"/>
      <c r="CT266" s="265"/>
      <c r="CU266" s="265"/>
      <c r="CV266" s="265"/>
      <c r="CW266" s="265"/>
      <c r="CX266" s="265"/>
      <c r="CY266" s="265"/>
      <c r="CZ266" s="11"/>
      <c r="DA266" s="265">
        <f>IFERROR(DA262/DA113,0)</f>
        <v>0.4974190376</v>
      </c>
      <c r="DB266" s="265"/>
      <c r="DC266" s="265"/>
      <c r="DD266" s="265"/>
      <c r="DE266" s="265"/>
      <c r="DF266" s="265"/>
      <c r="DG266" s="265"/>
      <c r="DH266" s="265"/>
      <c r="DI266" s="265"/>
      <c r="DJ266" s="265"/>
      <c r="DK266" s="265"/>
      <c r="DL266" s="265"/>
      <c r="DM266" s="265">
        <f>IFERROR(DM262/DM113,0)</f>
        <v>0.4974190376</v>
      </c>
      <c r="DN266" s="195"/>
      <c r="DO266" s="267"/>
      <c r="DP266" s="267"/>
      <c r="DQ266" s="205"/>
    </row>
    <row r="267">
      <c r="A267" s="51"/>
      <c r="B267" s="124"/>
      <c r="C267" s="124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6"/>
      <c r="AI267" s="47"/>
      <c r="AJ267" s="47"/>
      <c r="AK267" s="47"/>
      <c r="AL267" s="47"/>
      <c r="AM267" s="47"/>
      <c r="AN267" s="47"/>
      <c r="AO267" s="47"/>
      <c r="AP267" s="47"/>
      <c r="AQ267" s="47"/>
      <c r="AR267" s="47"/>
      <c r="AS267" s="47"/>
      <c r="AT267" s="47"/>
      <c r="AU267" s="47"/>
      <c r="AV267" s="127"/>
      <c r="AW267" s="47"/>
      <c r="AX267" s="47"/>
      <c r="AY267" s="47"/>
      <c r="AZ267" s="47"/>
      <c r="BA267" s="47"/>
      <c r="BB267" s="47"/>
      <c r="BC267" s="47"/>
      <c r="BD267" s="47"/>
      <c r="BE267" s="47"/>
      <c r="BF267" s="47"/>
      <c r="BG267" s="47"/>
      <c r="BH267" s="47"/>
      <c r="BI267" s="47"/>
      <c r="BJ267" s="126"/>
      <c r="BK267" s="47"/>
      <c r="BL267" s="47"/>
      <c r="BM267" s="47"/>
      <c r="BN267" s="47"/>
      <c r="BO267" s="47"/>
      <c r="BP267" s="47"/>
      <c r="BQ267" s="47"/>
      <c r="BR267" s="47"/>
      <c r="BS267" s="47"/>
      <c r="BT267" s="47"/>
      <c r="BU267" s="47"/>
      <c r="BV267" s="47"/>
      <c r="BW267" s="47"/>
      <c r="BX267" s="1"/>
      <c r="BY267" s="246"/>
      <c r="BZ267" s="246"/>
      <c r="CA267" s="246"/>
      <c r="CB267" s="246"/>
      <c r="CC267" s="246"/>
      <c r="CD267" s="246"/>
      <c r="CE267" s="246"/>
      <c r="CF267" s="246"/>
      <c r="CG267" s="246"/>
      <c r="CH267" s="246"/>
      <c r="CI267" s="246"/>
      <c r="CJ267" s="246"/>
      <c r="CK267" s="246"/>
      <c r="CL267" s="47"/>
      <c r="CM267" s="47"/>
      <c r="CN267" s="47"/>
      <c r="CO267" s="47"/>
      <c r="CP267" s="47"/>
      <c r="CQ267" s="47"/>
      <c r="CR267" s="47"/>
      <c r="CS267" s="47"/>
      <c r="CT267" s="47"/>
      <c r="CU267" s="47"/>
      <c r="CV267" s="47"/>
      <c r="CW267" s="47"/>
      <c r="CX267" s="47"/>
      <c r="CY267" s="47"/>
      <c r="CZ267" s="11"/>
      <c r="DA267" s="95"/>
      <c r="DB267" s="95"/>
      <c r="DC267" s="95"/>
      <c r="DD267" s="95"/>
      <c r="DE267" s="95"/>
      <c r="DF267" s="95"/>
      <c r="DG267" s="95"/>
      <c r="DH267" s="95"/>
      <c r="DI267" s="95"/>
      <c r="DJ267" s="95"/>
      <c r="DK267" s="95"/>
      <c r="DL267" s="95"/>
      <c r="DM267" s="95"/>
      <c r="DN267" s="1"/>
      <c r="DO267" s="206"/>
      <c r="DP267" s="206"/>
      <c r="DQ267" s="131"/>
    </row>
    <row r="268">
      <c r="A268" s="15"/>
      <c r="B268" s="184" t="s">
        <v>35</v>
      </c>
      <c r="C268" s="124"/>
      <c r="D268" s="268">
        <f>SUMIFS($CM268:$CX268,$CM$38:$CX$38,$D$2)</f>
        <v>0</v>
      </c>
      <c r="E268" s="268">
        <f>SUMIFS($DA268:$DM268,$DA$38:$DM$38,$D$2)</f>
        <v>0</v>
      </c>
      <c r="F268" s="268">
        <f>SUMIFS($BK268:$BV268,$BK$38:$BV$38,$D$2)</f>
        <v>0</v>
      </c>
      <c r="G268" s="268">
        <f>SUMIFS($BY268:$CJ268,$BY$38:$CJ$38,$D$2)</f>
        <v>0</v>
      </c>
      <c r="H268" s="48"/>
      <c r="I268" s="75">
        <f t="shared" ref="I268:I269" si="1402">E268-D268</f>
        <v>0</v>
      </c>
      <c r="J268" s="262">
        <f t="shared" ref="J268:J269" si="1403">IFERROR(I268/ABS(E268),0)</f>
        <v>0</v>
      </c>
      <c r="K268" s="75">
        <f t="shared" ref="K268:K269" si="1404">F268-D268</f>
        <v>0</v>
      </c>
      <c r="L268" s="262">
        <f t="shared" ref="L268:L269" si="1405">IFERROR(K268/ABS(F268),0)</f>
        <v>0</v>
      </c>
      <c r="M268" s="75">
        <f t="shared" ref="M268:M269" si="1406">G268-D268</f>
        <v>0</v>
      </c>
      <c r="N268" s="262">
        <f t="shared" ref="N268:N269" si="1407">IFERROR(M268/ABS(G268),0)</f>
        <v>0</v>
      </c>
      <c r="O268" s="48"/>
      <c r="P268" s="268">
        <f>SUMIFS($CM268:$CX268,$CM$38:$CX$38,$P$2)</f>
        <v>0</v>
      </c>
      <c r="Q268" s="268">
        <f>SUMIFS($BK268:$BV268,$BK$38:$BV$38,$P$2)</f>
        <v>0</v>
      </c>
      <c r="R268" s="268">
        <f>SUMIFS($BY268:$CJ268,$BY$38:$CJ$38,$P$2)</f>
        <v>0</v>
      </c>
      <c r="S268" s="48"/>
      <c r="T268" s="269">
        <f t="shared" ref="T268:T269" si="1408">Q268-P268</f>
        <v>0</v>
      </c>
      <c r="U268" s="270">
        <f t="shared" ref="U268:U269" si="1409">IFERROR(T268/ABS(Q268),0)</f>
        <v>0</v>
      </c>
      <c r="V268" s="269">
        <f t="shared" ref="V268:V269" si="1410">R268-P268</f>
        <v>0</v>
      </c>
      <c r="W268" s="270">
        <f t="shared" ref="W268:W269" si="1411">IFERROR(V268/ABS(R268),0)</f>
        <v>0</v>
      </c>
      <c r="X268" s="48"/>
      <c r="Y268" s="157">
        <f t="shared" ref="Y268:Y269" si="1412">$AU268</f>
        <v>0</v>
      </c>
      <c r="Z268" s="157">
        <f t="shared" ref="Z268:Z269" si="1413">$BI268</f>
        <v>0</v>
      </c>
      <c r="AA268" s="268">
        <f t="shared" ref="AA268:AA269" si="1414">$BW268</f>
        <v>0</v>
      </c>
      <c r="AB268" s="268" t="str">
        <f t="shared" ref="AB268:AB269" si="1415">$CK268</f>
        <v/>
      </c>
      <c r="AC268" s="125"/>
      <c r="AD268" s="75">
        <f t="shared" ref="AD268:AD269" si="1416">AA268-Y268</f>
        <v>0</v>
      </c>
      <c r="AE268" s="270">
        <f t="shared" ref="AE268:AE269" si="1417">IFERROR(AD268/ABS(AA268),0)</f>
        <v>0</v>
      </c>
      <c r="AF268" s="75">
        <f t="shared" ref="AF268:AF269" si="1418">AB268-Y268</f>
        <v>0</v>
      </c>
      <c r="AG268" s="270">
        <f t="shared" ref="AG268:AG269" si="1419">IFERROR(AF268/ABS(AB268),0)</f>
        <v>0</v>
      </c>
      <c r="AH268" s="134"/>
      <c r="AI268" s="271" t="str">
        <f t="shared" ref="AI268:AI269" si="1420">IFERROR(IF(AI$3="A",CM268,IF(AI$3="F",DA268)),0)</f>
        <v/>
      </c>
      <c r="AJ268" s="271" t="str">
        <f t="shared" ref="AJ268:AT268" si="1400">IFERROR(IF(AJ$3="A",CN268,IF(AJ$3="F",DB268,IF(AJ$3="B",BL268,0))),"")</f>
        <v/>
      </c>
      <c r="AK268" s="271" t="str">
        <f t="shared" si="1400"/>
        <v/>
      </c>
      <c r="AL268" s="271" t="str">
        <f t="shared" si="1400"/>
        <v/>
      </c>
      <c r="AM268" s="271" t="str">
        <f t="shared" si="1400"/>
        <v/>
      </c>
      <c r="AN268" s="271" t="str">
        <f t="shared" si="1400"/>
        <v/>
      </c>
      <c r="AO268" s="271" t="str">
        <f t="shared" si="1400"/>
        <v/>
      </c>
      <c r="AP268" s="271" t="str">
        <f t="shared" si="1400"/>
        <v/>
      </c>
      <c r="AQ268" s="271" t="str">
        <f t="shared" si="1400"/>
        <v/>
      </c>
      <c r="AR268" s="271" t="str">
        <f t="shared" si="1400"/>
        <v/>
      </c>
      <c r="AS268" s="271" t="str">
        <f t="shared" si="1400"/>
        <v/>
      </c>
      <c r="AT268" s="271" t="str">
        <f t="shared" si="1400"/>
        <v/>
      </c>
      <c r="AU268" s="157">
        <f t="shared" ref="AU268:AU269" si="1422">SUM(AI268:AT268)</f>
        <v>0</v>
      </c>
      <c r="AV268" s="127"/>
      <c r="AW268" s="157" t="str">
        <f t="shared" ref="AW268:BH268" si="1401">IFERROR(IF(AW$3="A",CM268,IF(AW$3="B",BK268)),0)</f>
        <v/>
      </c>
      <c r="AX268" s="157" t="str">
        <f t="shared" si="1401"/>
        <v/>
      </c>
      <c r="AY268" s="157" t="str">
        <f t="shared" si="1401"/>
        <v/>
      </c>
      <c r="AZ268" s="157" t="str">
        <f t="shared" si="1401"/>
        <v/>
      </c>
      <c r="BA268" s="157" t="str">
        <f t="shared" si="1401"/>
        <v/>
      </c>
      <c r="BB268" s="157" t="str">
        <f t="shared" si="1401"/>
        <v/>
      </c>
      <c r="BC268" s="157" t="str">
        <f t="shared" si="1401"/>
        <v/>
      </c>
      <c r="BD268" s="157" t="str">
        <f t="shared" si="1401"/>
        <v/>
      </c>
      <c r="BE268" s="157" t="str">
        <f t="shared" si="1401"/>
        <v/>
      </c>
      <c r="BF268" s="157" t="str">
        <f t="shared" si="1401"/>
        <v/>
      </c>
      <c r="BG268" s="157" t="str">
        <f t="shared" si="1401"/>
        <v/>
      </c>
      <c r="BH268" s="157" t="str">
        <f t="shared" si="1401"/>
        <v/>
      </c>
      <c r="BI268" s="157">
        <f t="shared" ref="BI268:BI269" si="1424">SUM(AW268:BH268)</f>
        <v>0</v>
      </c>
      <c r="BJ268" s="134"/>
      <c r="BK268" s="271"/>
      <c r="BL268" s="271"/>
      <c r="BM268" s="271"/>
      <c r="BN268" s="271"/>
      <c r="BO268" s="271"/>
      <c r="BP268" s="271"/>
      <c r="BQ268" s="271"/>
      <c r="BR268" s="271"/>
      <c r="BS268" s="271"/>
      <c r="BT268" s="271"/>
      <c r="BU268" s="271"/>
      <c r="BV268" s="271"/>
      <c r="BW268" s="158">
        <v>0.0</v>
      </c>
      <c r="BX268" s="1"/>
      <c r="BY268" s="157"/>
      <c r="BZ268" s="157"/>
      <c r="CA268" s="157"/>
      <c r="CB268" s="157"/>
      <c r="CC268" s="157"/>
      <c r="CD268" s="157"/>
      <c r="CE268" s="157"/>
      <c r="CF268" s="157"/>
      <c r="CG268" s="157"/>
      <c r="CH268" s="157"/>
      <c r="CI268" s="157"/>
      <c r="CJ268" s="157"/>
      <c r="CK268" s="157"/>
      <c r="CL268" s="159"/>
      <c r="CM268" s="157"/>
      <c r="CN268" s="157"/>
      <c r="CO268" s="157"/>
      <c r="CP268" s="157"/>
      <c r="CQ268" s="157"/>
      <c r="CR268" s="157"/>
      <c r="CS268" s="157"/>
      <c r="CT268" s="157"/>
      <c r="CU268" s="157"/>
      <c r="CV268" s="157"/>
      <c r="CW268" s="157"/>
      <c r="CX268" s="157"/>
      <c r="CY268" s="157"/>
      <c r="CZ268" s="11"/>
      <c r="DA268" s="157" t="str">
        <f t="shared" ref="DA268:DA269" si="1425">BK268</f>
        <v/>
      </c>
      <c r="DB268" s="157"/>
      <c r="DC268" s="157"/>
      <c r="DD268" s="157"/>
      <c r="DE268" s="157"/>
      <c r="DF268" s="157"/>
      <c r="DG268" s="157"/>
      <c r="DH268" s="157"/>
      <c r="DI268" s="157"/>
      <c r="DJ268" s="157"/>
      <c r="DK268" s="157"/>
      <c r="DL268" s="157"/>
      <c r="DM268" s="157">
        <f t="shared" ref="DM268:DM269" si="1426">SUM(DA268:DL268)</f>
        <v>0</v>
      </c>
      <c r="DN268" s="1"/>
      <c r="DO268" s="160"/>
      <c r="DP268" s="160"/>
      <c r="DQ268" s="131"/>
    </row>
    <row r="269">
      <c r="A269" s="15"/>
      <c r="B269" s="184" t="s">
        <v>243</v>
      </c>
      <c r="C269" s="185"/>
      <c r="D269" s="268">
        <f>SUMIFS($CM269:$CX269,$CM$35:$CX$35,$D$2)</f>
        <v>0</v>
      </c>
      <c r="E269" s="268">
        <f>SUMIFS($DA269:$DM269,$DA$35:$DM$35,$D$2)</f>
        <v>0</v>
      </c>
      <c r="F269" s="268">
        <f>SUMIFS($BK269:$BV269,$BK$35:$BV$35,$D$2)</f>
        <v>0</v>
      </c>
      <c r="G269" s="268">
        <f>SUMIFS($BY269:$CJ269,$BY$35:$CJ$35,$D$2)</f>
        <v>0</v>
      </c>
      <c r="H269" s="48"/>
      <c r="I269" s="75">
        <f t="shared" si="1402"/>
        <v>0</v>
      </c>
      <c r="J269" s="262">
        <f t="shared" si="1403"/>
        <v>0</v>
      </c>
      <c r="K269" s="75">
        <f t="shared" si="1404"/>
        <v>0</v>
      </c>
      <c r="L269" s="262">
        <f t="shared" si="1405"/>
        <v>0</v>
      </c>
      <c r="M269" s="75">
        <f t="shared" si="1406"/>
        <v>0</v>
      </c>
      <c r="N269" s="262">
        <f t="shared" si="1407"/>
        <v>0</v>
      </c>
      <c r="O269" s="48"/>
      <c r="P269" s="268">
        <f>SUMIFS($CM269:$CX269,$CM$35:$CX$35,$P$2)</f>
        <v>0</v>
      </c>
      <c r="Q269" s="268">
        <f>SUMIFS($BK269:$BV269,$BK$35:$BV$35,$P$2)</f>
        <v>0</v>
      </c>
      <c r="R269" s="268">
        <f>SUMIFS($BY269:$CJ269,$BY$35:$CJ$35,$P$2)</f>
        <v>0</v>
      </c>
      <c r="S269" s="48"/>
      <c r="T269" s="75">
        <f t="shared" si="1408"/>
        <v>0</v>
      </c>
      <c r="U269" s="262">
        <f t="shared" si="1409"/>
        <v>0</v>
      </c>
      <c r="V269" s="75">
        <f t="shared" si="1410"/>
        <v>0</v>
      </c>
      <c r="W269" s="262">
        <f t="shared" si="1411"/>
        <v>0</v>
      </c>
      <c r="X269" s="48"/>
      <c r="Y269" s="157">
        <f t="shared" si="1412"/>
        <v>0</v>
      </c>
      <c r="Z269" s="157">
        <f t="shared" si="1413"/>
        <v>0</v>
      </c>
      <c r="AA269" s="268">
        <f t="shared" si="1414"/>
        <v>0</v>
      </c>
      <c r="AB269" s="268" t="str">
        <f t="shared" si="1415"/>
        <v/>
      </c>
      <c r="AC269" s="125"/>
      <c r="AD269" s="75">
        <f t="shared" si="1416"/>
        <v>0</v>
      </c>
      <c r="AE269" s="262">
        <f t="shared" si="1417"/>
        <v>0</v>
      </c>
      <c r="AF269" s="75">
        <f t="shared" si="1418"/>
        <v>0</v>
      </c>
      <c r="AG269" s="262">
        <f t="shared" si="1419"/>
        <v>0</v>
      </c>
      <c r="AH269" s="134"/>
      <c r="AI269" s="271" t="str">
        <f t="shared" si="1420"/>
        <v/>
      </c>
      <c r="AJ269" s="271" t="str">
        <f t="shared" ref="AJ269:AT269" si="1421">IFERROR(IF(AJ$3="A",CN269,IF(AJ$3="F",DB269,IF(AJ$3="B",BL269,0))),"")</f>
        <v/>
      </c>
      <c r="AK269" s="271" t="str">
        <f t="shared" si="1421"/>
        <v/>
      </c>
      <c r="AL269" s="271" t="str">
        <f t="shared" si="1421"/>
        <v/>
      </c>
      <c r="AM269" s="271" t="str">
        <f t="shared" si="1421"/>
        <v/>
      </c>
      <c r="AN269" s="271" t="str">
        <f t="shared" si="1421"/>
        <v/>
      </c>
      <c r="AO269" s="271" t="str">
        <f t="shared" si="1421"/>
        <v/>
      </c>
      <c r="AP269" s="271" t="str">
        <f t="shared" si="1421"/>
        <v/>
      </c>
      <c r="AQ269" s="271" t="str">
        <f t="shared" si="1421"/>
        <v/>
      </c>
      <c r="AR269" s="271" t="str">
        <f t="shared" si="1421"/>
        <v/>
      </c>
      <c r="AS269" s="271" t="str">
        <f t="shared" si="1421"/>
        <v/>
      </c>
      <c r="AT269" s="271" t="str">
        <f t="shared" si="1421"/>
        <v/>
      </c>
      <c r="AU269" s="157">
        <f t="shared" si="1422"/>
        <v>0</v>
      </c>
      <c r="AV269" s="127"/>
      <c r="AW269" s="271" t="str">
        <f t="shared" ref="AW269:BH269" si="1423">IFERROR(IF(AW$3="A",CM269,IF(AW$3="B",BK269)),0)</f>
        <v/>
      </c>
      <c r="AX269" s="271" t="str">
        <f t="shared" si="1423"/>
        <v/>
      </c>
      <c r="AY269" s="271" t="str">
        <f t="shared" si="1423"/>
        <v/>
      </c>
      <c r="AZ269" s="271" t="str">
        <f t="shared" si="1423"/>
        <v/>
      </c>
      <c r="BA269" s="271" t="str">
        <f t="shared" si="1423"/>
        <v/>
      </c>
      <c r="BB269" s="271" t="str">
        <f t="shared" si="1423"/>
        <v/>
      </c>
      <c r="BC269" s="271" t="str">
        <f t="shared" si="1423"/>
        <v/>
      </c>
      <c r="BD269" s="271" t="str">
        <f t="shared" si="1423"/>
        <v/>
      </c>
      <c r="BE269" s="271" t="str">
        <f t="shared" si="1423"/>
        <v/>
      </c>
      <c r="BF269" s="271" t="str">
        <f t="shared" si="1423"/>
        <v/>
      </c>
      <c r="BG269" s="271" t="str">
        <f t="shared" si="1423"/>
        <v/>
      </c>
      <c r="BH269" s="271" t="str">
        <f t="shared" si="1423"/>
        <v/>
      </c>
      <c r="BI269" s="157">
        <f t="shared" si="1424"/>
        <v>0</v>
      </c>
      <c r="BJ269" s="134"/>
      <c r="BK269" s="271"/>
      <c r="BL269" s="271"/>
      <c r="BM269" s="271"/>
      <c r="BN269" s="271"/>
      <c r="BO269" s="271"/>
      <c r="BP269" s="271"/>
      <c r="BQ269" s="271"/>
      <c r="BR269" s="271"/>
      <c r="BS269" s="271"/>
      <c r="BT269" s="271"/>
      <c r="BU269" s="271"/>
      <c r="BV269" s="271"/>
      <c r="BW269" s="158">
        <v>0.0</v>
      </c>
      <c r="BX269" s="1"/>
      <c r="BY269" s="157"/>
      <c r="BZ269" s="157"/>
      <c r="CA269" s="157"/>
      <c r="CB269" s="157"/>
      <c r="CC269" s="157"/>
      <c r="CD269" s="157"/>
      <c r="CE269" s="157"/>
      <c r="CF269" s="157"/>
      <c r="CG269" s="157"/>
      <c r="CH269" s="157"/>
      <c r="CI269" s="157"/>
      <c r="CJ269" s="157"/>
      <c r="CK269" s="157"/>
      <c r="CL269" s="159"/>
      <c r="CM269" s="157"/>
      <c r="CN269" s="157"/>
      <c r="CO269" s="157"/>
      <c r="CP269" s="157"/>
      <c r="CQ269" s="157"/>
      <c r="CR269" s="157"/>
      <c r="CS269" s="157"/>
      <c r="CT269" s="157"/>
      <c r="CU269" s="157"/>
      <c r="CV269" s="157"/>
      <c r="CW269" s="157"/>
      <c r="CX269" s="157"/>
      <c r="CY269" s="157"/>
      <c r="CZ269" s="11"/>
      <c r="DA269" s="157" t="str">
        <f t="shared" si="1425"/>
        <v/>
      </c>
      <c r="DB269" s="157"/>
      <c r="DC269" s="157"/>
      <c r="DD269" s="157"/>
      <c r="DE269" s="157"/>
      <c r="DF269" s="157"/>
      <c r="DG269" s="157"/>
      <c r="DH269" s="157"/>
      <c r="DI269" s="157"/>
      <c r="DJ269" s="157"/>
      <c r="DK269" s="157"/>
      <c r="DL269" s="157"/>
      <c r="DM269" s="157">
        <f t="shared" si="1426"/>
        <v>0</v>
      </c>
      <c r="DN269" s="1"/>
      <c r="DO269" s="160"/>
      <c r="DP269" s="160"/>
      <c r="DQ269" s="131"/>
    </row>
    <row r="270">
      <c r="A270" s="51"/>
      <c r="B270" s="124"/>
      <c r="C270" s="124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272"/>
      <c r="AE270" s="125"/>
      <c r="AF270" s="272"/>
      <c r="AG270" s="125"/>
      <c r="AH270" s="126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127"/>
      <c r="AW270" s="47"/>
      <c r="AX270" s="47"/>
      <c r="AY270" s="47"/>
      <c r="AZ270" s="47"/>
      <c r="BA270" s="47"/>
      <c r="BB270" s="47"/>
      <c r="BC270" s="47"/>
      <c r="BD270" s="47"/>
      <c r="BE270" s="47"/>
      <c r="BF270" s="47"/>
      <c r="BG270" s="47"/>
      <c r="BH270" s="47"/>
      <c r="BI270" s="47"/>
      <c r="BJ270" s="126"/>
      <c r="BK270" s="47"/>
      <c r="BL270" s="47"/>
      <c r="BM270" s="47"/>
      <c r="BN270" s="47"/>
      <c r="BO270" s="47"/>
      <c r="BP270" s="47"/>
      <c r="BQ270" s="47"/>
      <c r="BR270" s="47"/>
      <c r="BS270" s="47"/>
      <c r="BT270" s="47"/>
      <c r="BU270" s="47"/>
      <c r="BV270" s="47"/>
      <c r="BW270" s="47"/>
      <c r="BX270" s="1"/>
      <c r="BY270" s="246"/>
      <c r="BZ270" s="246"/>
      <c r="CA270" s="246"/>
      <c r="CB270" s="246"/>
      <c r="CC270" s="246"/>
      <c r="CD270" s="246"/>
      <c r="CE270" s="246"/>
      <c r="CF270" s="246"/>
      <c r="CG270" s="246"/>
      <c r="CH270" s="246"/>
      <c r="CI270" s="246"/>
      <c r="CJ270" s="246"/>
      <c r="CK270" s="246"/>
      <c r="CL270" s="47"/>
      <c r="CM270" s="47"/>
      <c r="CN270" s="47"/>
      <c r="CO270" s="47"/>
      <c r="CP270" s="47"/>
      <c r="CQ270" s="47"/>
      <c r="CR270" s="47"/>
      <c r="CS270" s="47"/>
      <c r="CT270" s="47"/>
      <c r="CU270" s="47"/>
      <c r="CV270" s="47"/>
      <c r="CW270" s="47"/>
      <c r="CX270" s="47"/>
      <c r="CY270" s="47"/>
      <c r="CZ270" s="11"/>
      <c r="DA270" s="95"/>
      <c r="DB270" s="95"/>
      <c r="DC270" s="95"/>
      <c r="DD270" s="95"/>
      <c r="DE270" s="95"/>
      <c r="DF270" s="95"/>
      <c r="DG270" s="95"/>
      <c r="DH270" s="95"/>
      <c r="DI270" s="95"/>
      <c r="DJ270" s="95"/>
      <c r="DK270" s="95"/>
      <c r="DL270" s="95"/>
      <c r="DM270" s="95"/>
      <c r="DN270" s="1"/>
      <c r="DO270" s="206"/>
      <c r="DP270" s="206"/>
      <c r="DQ270" s="131"/>
    </row>
    <row r="271">
      <c r="A271" s="51"/>
      <c r="B271" s="107" t="s">
        <v>37</v>
      </c>
      <c r="C271" s="156"/>
      <c r="D271" s="157">
        <f t="shared" ref="D271:G271" si="1427">D262-SUM(D268:D269)</f>
        <v>0</v>
      </c>
      <c r="E271" s="157">
        <f t="shared" si="1427"/>
        <v>0</v>
      </c>
      <c r="F271" s="157">
        <f t="shared" si="1427"/>
        <v>158569.3235</v>
      </c>
      <c r="G271" s="157">
        <f t="shared" si="1427"/>
        <v>0</v>
      </c>
      <c r="H271" s="48"/>
      <c r="I271" s="75">
        <f>D271-E271</f>
        <v>0</v>
      </c>
      <c r="J271" s="60">
        <f>IFERROR(I271/(E271),0)</f>
        <v>0</v>
      </c>
      <c r="K271" s="75">
        <f>D271-F271</f>
        <v>-158569.3235</v>
      </c>
      <c r="L271" s="60">
        <f>IFERROR(K271/(F271),0)</f>
        <v>-1</v>
      </c>
      <c r="M271" s="75">
        <f>D271-G271</f>
        <v>0</v>
      </c>
      <c r="N271" s="60">
        <f>IFERROR(M271/G271,0)</f>
        <v>0</v>
      </c>
      <c r="O271" s="48"/>
      <c r="P271" s="157">
        <f t="shared" ref="P271:R271" si="1428">P262-SUM(P268:P269)</f>
        <v>0</v>
      </c>
      <c r="Q271" s="157">
        <f t="shared" si="1428"/>
        <v>595098.903</v>
      </c>
      <c r="R271" s="157">
        <f t="shared" si="1428"/>
        <v>0</v>
      </c>
      <c r="S271" s="48"/>
      <c r="T271" s="269">
        <f>P271-Q271</f>
        <v>-595098.903</v>
      </c>
      <c r="U271" s="273">
        <f>IFERROR(T271/Q271,0)</f>
        <v>-1</v>
      </c>
      <c r="V271" s="269">
        <f>P271-R271</f>
        <v>0</v>
      </c>
      <c r="W271" s="273">
        <f>IFERROR(V271/R271,0)</f>
        <v>0</v>
      </c>
      <c r="X271" s="48"/>
      <c r="Y271" s="157">
        <f t="shared" ref="Y271:AB271" si="1429">Y262-SUM(Y268:Y269)</f>
        <v>575180.2663</v>
      </c>
      <c r="Z271" s="157">
        <f t="shared" si="1429"/>
        <v>1725314.147</v>
      </c>
      <c r="AA271" s="157">
        <f t="shared" si="1429"/>
        <v>2320413.051</v>
      </c>
      <c r="AB271" s="157">
        <f t="shared" si="1429"/>
        <v>0</v>
      </c>
      <c r="AC271" s="48"/>
      <c r="AD271" s="75">
        <f>Y271-AA271</f>
        <v>-1745232.784</v>
      </c>
      <c r="AE271" s="274">
        <f>IFERROR(AD271/AA271,0)</f>
        <v>-0.7521216035</v>
      </c>
      <c r="AF271" s="75">
        <f>Y271-AB271</f>
        <v>575180.2663</v>
      </c>
      <c r="AG271" s="274">
        <f>IFERROR(AF271/AB271,0)</f>
        <v>0</v>
      </c>
      <c r="AH271" s="56"/>
      <c r="AI271" s="157">
        <f t="shared" ref="AI271:AU271" si="1430">AI262-SUM(AI268:AI269)</f>
        <v>0</v>
      </c>
      <c r="AJ271" s="157">
        <f t="shared" si="1430"/>
        <v>0</v>
      </c>
      <c r="AK271" s="157">
        <f t="shared" si="1430"/>
        <v>0</v>
      </c>
      <c r="AL271" s="157">
        <f t="shared" si="1430"/>
        <v>0</v>
      </c>
      <c r="AM271" s="157">
        <f t="shared" si="1430"/>
        <v>0</v>
      </c>
      <c r="AN271" s="157">
        <f t="shared" si="1430"/>
        <v>0</v>
      </c>
      <c r="AO271" s="157">
        <f t="shared" si="1430"/>
        <v>0</v>
      </c>
      <c r="AP271" s="157">
        <f t="shared" si="1430"/>
        <v>0</v>
      </c>
      <c r="AQ271" s="157">
        <f t="shared" si="1430"/>
        <v>0</v>
      </c>
      <c r="AR271" s="157">
        <f t="shared" si="1430"/>
        <v>346348.5799</v>
      </c>
      <c r="AS271" s="157">
        <f t="shared" si="1430"/>
        <v>106226.726</v>
      </c>
      <c r="AT271" s="157">
        <f t="shared" si="1430"/>
        <v>122604.9604</v>
      </c>
      <c r="AU271" s="157">
        <f t="shared" si="1430"/>
        <v>575180.2663</v>
      </c>
      <c r="AV271" s="55"/>
      <c r="AW271" s="157">
        <f t="shared" ref="AW271:BI271" si="1431">AW262-SUM(AW268:AW269)</f>
        <v>0</v>
      </c>
      <c r="AX271" s="157">
        <f t="shared" si="1431"/>
        <v>0</v>
      </c>
      <c r="AY271" s="157">
        <f t="shared" si="1431"/>
        <v>0</v>
      </c>
      <c r="AZ271" s="157">
        <f t="shared" si="1431"/>
        <v>0</v>
      </c>
      <c r="BA271" s="157">
        <f t="shared" si="1431"/>
        <v>0</v>
      </c>
      <c r="BB271" s="157">
        <f t="shared" si="1431"/>
        <v>0</v>
      </c>
      <c r="BC271" s="157">
        <f t="shared" si="1431"/>
        <v>406870.4236</v>
      </c>
      <c r="BD271" s="157">
        <f t="shared" si="1431"/>
        <v>400164.5206</v>
      </c>
      <c r="BE271" s="157">
        <f t="shared" si="1431"/>
        <v>343098.9368</v>
      </c>
      <c r="BF271" s="157">
        <f t="shared" si="1431"/>
        <v>346348.5799</v>
      </c>
      <c r="BG271" s="157">
        <f t="shared" si="1431"/>
        <v>106226.726</v>
      </c>
      <c r="BH271" s="157">
        <f t="shared" si="1431"/>
        <v>122604.9604</v>
      </c>
      <c r="BI271" s="157">
        <f t="shared" si="1431"/>
        <v>1725314.147</v>
      </c>
      <c r="BJ271" s="56"/>
      <c r="BK271" s="158">
        <v>163386.5513</v>
      </c>
      <c r="BL271" s="158">
        <v>153068.8913</v>
      </c>
      <c r="BM271" s="158">
        <v>63157.121</v>
      </c>
      <c r="BN271" s="158">
        <v>15985.473</v>
      </c>
      <c r="BO271" s="158">
        <v>40931.543</v>
      </c>
      <c r="BP271" s="158">
        <v>158569.3238</v>
      </c>
      <c r="BQ271" s="158">
        <v>406870.4236</v>
      </c>
      <c r="BR271" s="158">
        <v>400164.5206</v>
      </c>
      <c r="BS271" s="158">
        <v>343098.9368</v>
      </c>
      <c r="BT271" s="158">
        <v>346348.5798</v>
      </c>
      <c r="BU271" s="158">
        <v>106226.726</v>
      </c>
      <c r="BV271" s="158">
        <v>122604.9605</v>
      </c>
      <c r="BW271" s="158">
        <v>2320413.0507</v>
      </c>
      <c r="BX271" s="1"/>
      <c r="BY271" s="157"/>
      <c r="BZ271" s="157"/>
      <c r="CA271" s="157"/>
      <c r="CB271" s="157"/>
      <c r="CC271" s="157"/>
      <c r="CD271" s="157"/>
      <c r="CE271" s="157"/>
      <c r="CF271" s="157"/>
      <c r="CG271" s="157"/>
      <c r="CH271" s="157"/>
      <c r="CI271" s="157"/>
      <c r="CJ271" s="157"/>
      <c r="CK271" s="157"/>
      <c r="CL271" s="159"/>
      <c r="CM271" s="157"/>
      <c r="CN271" s="157"/>
      <c r="CO271" s="157"/>
      <c r="CP271" s="157"/>
      <c r="CQ271" s="157"/>
      <c r="CR271" s="157"/>
      <c r="CS271" s="157"/>
      <c r="CT271" s="157"/>
      <c r="CU271" s="157"/>
      <c r="CV271" s="157"/>
      <c r="CW271" s="157"/>
      <c r="CX271" s="157"/>
      <c r="CY271" s="157"/>
      <c r="CZ271" s="11"/>
      <c r="DA271" s="157">
        <f>DA262-SUM(DA268:DA269)</f>
        <v>163386.5513</v>
      </c>
      <c r="DB271" s="157"/>
      <c r="DC271" s="157"/>
      <c r="DD271" s="157"/>
      <c r="DE271" s="157"/>
      <c r="DF271" s="157"/>
      <c r="DG271" s="157"/>
      <c r="DH271" s="157"/>
      <c r="DI271" s="157"/>
      <c r="DJ271" s="157"/>
      <c r="DK271" s="157"/>
      <c r="DL271" s="157"/>
      <c r="DM271" s="157">
        <f>DM262-SUM(DM268:DM269)</f>
        <v>163386.5513</v>
      </c>
      <c r="DN271" s="1"/>
      <c r="DO271" s="160"/>
      <c r="DP271" s="160"/>
      <c r="DQ271" s="186"/>
    </row>
    <row r="272">
      <c r="A272" s="15"/>
      <c r="B272" s="124"/>
      <c r="C272" s="124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272"/>
      <c r="AE272" s="125"/>
      <c r="AF272" s="272"/>
      <c r="AG272" s="125"/>
      <c r="AH272" s="126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127"/>
      <c r="AW272" s="47"/>
      <c r="AX272" s="47"/>
      <c r="AY272" s="47"/>
      <c r="AZ272" s="47"/>
      <c r="BA272" s="47"/>
      <c r="BB272" s="47"/>
      <c r="BC272" s="47"/>
      <c r="BD272" s="47"/>
      <c r="BE272" s="47"/>
      <c r="BF272" s="47"/>
      <c r="BG272" s="47"/>
      <c r="BH272" s="47"/>
      <c r="BI272" s="47"/>
      <c r="BJ272" s="126"/>
      <c r="BK272" s="47"/>
      <c r="BL272" s="47"/>
      <c r="BM272" s="47"/>
      <c r="BN272" s="47"/>
      <c r="BO272" s="47"/>
      <c r="BP272" s="47"/>
      <c r="BQ272" s="47"/>
      <c r="BR272" s="47"/>
      <c r="BS272" s="47"/>
      <c r="BT272" s="47"/>
      <c r="BU272" s="47"/>
      <c r="BV272" s="47"/>
      <c r="BW272" s="47"/>
      <c r="BX272" s="1"/>
      <c r="BY272" s="246"/>
      <c r="BZ272" s="246"/>
      <c r="CA272" s="246"/>
      <c r="CB272" s="246"/>
      <c r="CC272" s="246"/>
      <c r="CD272" s="246"/>
      <c r="CE272" s="246"/>
      <c r="CF272" s="246"/>
      <c r="CG272" s="246"/>
      <c r="CH272" s="246"/>
      <c r="CI272" s="246"/>
      <c r="CJ272" s="246"/>
      <c r="CK272" s="246"/>
      <c r="CL272" s="47"/>
      <c r="CM272" s="47"/>
      <c r="CN272" s="47"/>
      <c r="CO272" s="47"/>
      <c r="CP272" s="47"/>
      <c r="CQ272" s="47"/>
      <c r="CR272" s="47"/>
      <c r="CS272" s="47"/>
      <c r="CT272" s="47"/>
      <c r="CU272" s="47"/>
      <c r="CV272" s="47"/>
      <c r="CW272" s="47"/>
      <c r="CX272" s="47"/>
      <c r="CY272" s="47"/>
      <c r="CZ272" s="11"/>
      <c r="DA272" s="95"/>
      <c r="DB272" s="95"/>
      <c r="DC272" s="95"/>
      <c r="DD272" s="95"/>
      <c r="DE272" s="95"/>
      <c r="DF272" s="95"/>
      <c r="DG272" s="95"/>
      <c r="DH272" s="95"/>
      <c r="DI272" s="95"/>
      <c r="DJ272" s="95"/>
      <c r="DK272" s="95"/>
      <c r="DL272" s="95"/>
      <c r="DM272" s="95"/>
      <c r="DN272" s="1"/>
      <c r="DO272" s="206"/>
      <c r="DP272" s="206"/>
      <c r="DQ272" s="131"/>
    </row>
    <row r="273" outlineLevel="1">
      <c r="A273" s="51"/>
      <c r="B273" s="275" t="s">
        <v>244</v>
      </c>
      <c r="C273" s="15"/>
      <c r="D273" s="47">
        <f t="shared" ref="D273:D282" si="1434">SUMIFS($CM273:$CX273,$CM$35:$CX$35,$D$2)</f>
        <v>0</v>
      </c>
      <c r="E273" s="47">
        <f t="shared" ref="E273:E282" si="1435">SUMIFS($DA273:$DM273,$DA$35:$DM$35,$D$2)</f>
        <v>0</v>
      </c>
      <c r="F273" s="47">
        <f t="shared" ref="F273:F282" si="1436">SUMIFS($BK273:$BV273,$BK$35:$BV$35,$D$2)</f>
        <v>20928</v>
      </c>
      <c r="G273" s="47">
        <f t="shared" ref="G273:G282" si="1437">SUMIFS($BY273:$CJ273,$BY$35:$CJ$35,$D$2)</f>
        <v>0</v>
      </c>
      <c r="H273" s="48"/>
      <c r="I273" s="66">
        <f t="shared" ref="I273:I282" si="1438">E273-D273</f>
        <v>0</v>
      </c>
      <c r="J273" s="67">
        <f t="shared" ref="J273:J282" si="1439">IFERROR(I273/ABS(E273),0)</f>
        <v>0</v>
      </c>
      <c r="K273" s="66">
        <f t="shared" ref="K273:K282" si="1440">F273-D273</f>
        <v>20928</v>
      </c>
      <c r="L273" s="67">
        <f t="shared" ref="L273:L282" si="1441">IFERROR(K273/ABS(F273),0)</f>
        <v>1</v>
      </c>
      <c r="M273" s="66">
        <f t="shared" ref="M273:M282" si="1442">G273-D273</f>
        <v>0</v>
      </c>
      <c r="N273" s="67">
        <f t="shared" ref="N273:N282" si="1443">IFERROR(M273/ABS(G273),0)</f>
        <v>0</v>
      </c>
      <c r="O273" s="48"/>
      <c r="P273" s="47">
        <f t="shared" ref="P273:P282" si="1444">SUMIFS($CM273:$CX273,$CM$35:$CX$35,$P$2)</f>
        <v>0</v>
      </c>
      <c r="Q273" s="47">
        <f t="shared" ref="Q273:Q282" si="1445">SUMIFS($BK273:$BV273,$BK$35:$BV$35,$P$2)</f>
        <v>125568</v>
      </c>
      <c r="R273" s="47">
        <f t="shared" ref="R273:R282" si="1446">SUMIFS($BY273:$CJ273,$BY$35:$CJ$35,$P$2)</f>
        <v>0</v>
      </c>
      <c r="S273" s="48"/>
      <c r="T273" s="66">
        <f t="shared" ref="T273:T282" si="1447">Q273-P273</f>
        <v>125568</v>
      </c>
      <c r="U273" s="67">
        <f t="shared" ref="U273:U282" si="1448">IFERROR(T273/ABS(Q273),0)</f>
        <v>1</v>
      </c>
      <c r="V273" s="66">
        <f t="shared" ref="V273:V282" si="1449">R273-P273</f>
        <v>0</v>
      </c>
      <c r="W273" s="67">
        <f t="shared" ref="W273:W282" si="1450">IFERROR(V273/ABS(R273),0)</f>
        <v>0</v>
      </c>
      <c r="X273" s="48"/>
      <c r="Y273" s="47">
        <f t="shared" ref="Y273:Y282" si="1451">$AU273</f>
        <v>71910</v>
      </c>
      <c r="Z273" s="47">
        <f t="shared" ref="Z273:Z282" si="1452">$BI273</f>
        <v>137736</v>
      </c>
      <c r="AA273" s="47">
        <f t="shared" ref="AA273:AA282" si="1453">$BW273</f>
        <v>263304</v>
      </c>
      <c r="AB273" s="47" t="str">
        <f t="shared" ref="AB273:AB282" si="1454">$CK273</f>
        <v/>
      </c>
      <c r="AC273" s="17"/>
      <c r="AD273" s="66">
        <f t="shared" ref="AD273:AD282" si="1455">AA273-Y273</f>
        <v>191394</v>
      </c>
      <c r="AE273" s="67">
        <f t="shared" ref="AE273:AE282" si="1456">IFERROR(AD273/ABS(AA273),0)</f>
        <v>0.7268936287</v>
      </c>
      <c r="AF273" s="66">
        <f t="shared" ref="AF273:AF282" si="1457">AB273-Y273</f>
        <v>-71910</v>
      </c>
      <c r="AG273" s="67">
        <f t="shared" ref="AG273:AG282" si="1458">IFERROR(AF273/ABS(AB273),0)</f>
        <v>0</v>
      </c>
      <c r="AH273" s="117"/>
      <c r="AI273" s="47" t="str">
        <f t="shared" ref="AI273:AI282" si="1459">IFERROR(IF(AI$3="A",CM273,IF(AI$3="F",DA273)),0)</f>
        <v/>
      </c>
      <c r="AJ273" s="47" t="str">
        <f t="shared" ref="AJ273:AT273" si="1432">IFERROR(IF(AJ$3="A",CN273,IF(AJ$3="F",DB273,IF(AJ$3="B",BL273,0))),"")</f>
        <v/>
      </c>
      <c r="AK273" s="47" t="str">
        <f t="shared" si="1432"/>
        <v/>
      </c>
      <c r="AL273" s="47" t="str">
        <f t="shared" si="1432"/>
        <v/>
      </c>
      <c r="AM273" s="47" t="str">
        <f t="shared" si="1432"/>
        <v/>
      </c>
      <c r="AN273" s="47" t="str">
        <f t="shared" si="1432"/>
        <v/>
      </c>
      <c r="AO273" s="47" t="str">
        <f t="shared" si="1432"/>
        <v/>
      </c>
      <c r="AP273" s="47" t="str">
        <f t="shared" si="1432"/>
        <v/>
      </c>
      <c r="AQ273" s="47" t="str">
        <f t="shared" si="1432"/>
        <v/>
      </c>
      <c r="AR273" s="47">
        <f t="shared" si="1432"/>
        <v>23970</v>
      </c>
      <c r="AS273" s="47">
        <f t="shared" si="1432"/>
        <v>23970</v>
      </c>
      <c r="AT273" s="47">
        <f t="shared" si="1432"/>
        <v>23970</v>
      </c>
      <c r="AU273" s="65">
        <f t="shared" ref="AU273:AU282" si="1461">SUM(AI273:AT273)</f>
        <v>71910</v>
      </c>
      <c r="AV273" s="11"/>
      <c r="AW273" s="47" t="str">
        <f t="shared" ref="AW273:BH273" si="1433">IFERROR(IF(AW$3="A",CM273,IF(AW$3="B",BK273)),0)</f>
        <v/>
      </c>
      <c r="AX273" s="47" t="str">
        <f t="shared" si="1433"/>
        <v/>
      </c>
      <c r="AY273" s="47" t="str">
        <f t="shared" si="1433"/>
        <v/>
      </c>
      <c r="AZ273" s="47" t="str">
        <f t="shared" si="1433"/>
        <v/>
      </c>
      <c r="BA273" s="47" t="str">
        <f t="shared" si="1433"/>
        <v/>
      </c>
      <c r="BB273" s="47" t="str">
        <f t="shared" si="1433"/>
        <v/>
      </c>
      <c r="BC273" s="47">
        <f t="shared" si="1433"/>
        <v>20928</v>
      </c>
      <c r="BD273" s="47">
        <f t="shared" si="1433"/>
        <v>20928</v>
      </c>
      <c r="BE273" s="47">
        <f t="shared" si="1433"/>
        <v>23970</v>
      </c>
      <c r="BF273" s="47">
        <f t="shared" si="1433"/>
        <v>23970</v>
      </c>
      <c r="BG273" s="47">
        <f t="shared" si="1433"/>
        <v>23970</v>
      </c>
      <c r="BH273" s="47">
        <f t="shared" si="1433"/>
        <v>23970</v>
      </c>
      <c r="BI273" s="65">
        <f t="shared" ref="BI273:BI282" si="1463">SUM(AW273:BH273)</f>
        <v>137736</v>
      </c>
      <c r="BJ273" s="117"/>
      <c r="BK273" s="128">
        <v>20928.0</v>
      </c>
      <c r="BL273" s="128">
        <v>20928.0</v>
      </c>
      <c r="BM273" s="128">
        <v>20928.0</v>
      </c>
      <c r="BN273" s="128">
        <v>20928.0</v>
      </c>
      <c r="BO273" s="128">
        <v>20928.0</v>
      </c>
      <c r="BP273" s="128">
        <v>20928.0</v>
      </c>
      <c r="BQ273" s="128">
        <v>20928.0</v>
      </c>
      <c r="BR273" s="128">
        <v>20928.0</v>
      </c>
      <c r="BS273" s="128">
        <v>23970.0</v>
      </c>
      <c r="BT273" s="128">
        <v>23970.0</v>
      </c>
      <c r="BU273" s="128">
        <v>23970.0</v>
      </c>
      <c r="BV273" s="128">
        <v>23970.0</v>
      </c>
      <c r="BW273" s="129">
        <v>263304.0</v>
      </c>
      <c r="BX273" s="1"/>
      <c r="BY273" s="47"/>
      <c r="BZ273" s="47"/>
      <c r="CA273" s="47"/>
      <c r="CB273" s="47"/>
      <c r="CC273" s="47"/>
      <c r="CD273" s="47"/>
      <c r="CE273" s="47"/>
      <c r="CF273" s="47"/>
      <c r="CG273" s="47"/>
      <c r="CH273" s="47"/>
      <c r="CI273" s="47"/>
      <c r="CJ273" s="47"/>
      <c r="CK273" s="65"/>
      <c r="CL273" s="47"/>
      <c r="CM273" s="47"/>
      <c r="CN273" s="47"/>
      <c r="CO273" s="47"/>
      <c r="CP273" s="47"/>
      <c r="CQ273" s="47"/>
      <c r="CR273" s="47"/>
      <c r="CS273" s="47"/>
      <c r="CT273" s="47"/>
      <c r="CU273" s="47"/>
      <c r="CV273" s="47"/>
      <c r="CW273" s="47"/>
      <c r="CX273" s="47"/>
      <c r="CY273" s="65"/>
      <c r="CZ273" s="11"/>
      <c r="DA273" s="47">
        <f t="shared" ref="DA273:DA282" si="1464">BK273</f>
        <v>20928</v>
      </c>
      <c r="DB273" s="47"/>
      <c r="DC273" s="47"/>
      <c r="DD273" s="47"/>
      <c r="DE273" s="47"/>
      <c r="DF273" s="47"/>
      <c r="DG273" s="47"/>
      <c r="DH273" s="47"/>
      <c r="DI273" s="47"/>
      <c r="DJ273" s="47"/>
      <c r="DK273" s="47"/>
      <c r="DL273" s="47"/>
      <c r="DM273" s="65">
        <f t="shared" ref="DM273:DM282" si="1465">SUM(DA273:DL273)</f>
        <v>20928</v>
      </c>
      <c r="DN273" s="1"/>
      <c r="DO273" s="130"/>
      <c r="DP273" s="130"/>
      <c r="DQ273" s="131"/>
    </row>
    <row r="274" outlineLevel="1">
      <c r="A274" s="15"/>
      <c r="B274" s="275" t="s">
        <v>245</v>
      </c>
      <c r="C274" s="15"/>
      <c r="D274" s="47">
        <f t="shared" si="1434"/>
        <v>0</v>
      </c>
      <c r="E274" s="47">
        <f t="shared" si="1435"/>
        <v>0</v>
      </c>
      <c r="F274" s="47">
        <f t="shared" si="1436"/>
        <v>0</v>
      </c>
      <c r="G274" s="47">
        <f t="shared" si="1437"/>
        <v>0</v>
      </c>
      <c r="H274" s="48"/>
      <c r="I274" s="66">
        <f t="shared" si="1438"/>
        <v>0</v>
      </c>
      <c r="J274" s="67">
        <f t="shared" si="1439"/>
        <v>0</v>
      </c>
      <c r="K274" s="66">
        <f t="shared" si="1440"/>
        <v>0</v>
      </c>
      <c r="L274" s="67">
        <f t="shared" si="1441"/>
        <v>0</v>
      </c>
      <c r="M274" s="66">
        <f t="shared" si="1442"/>
        <v>0</v>
      </c>
      <c r="N274" s="67">
        <f t="shared" si="1443"/>
        <v>0</v>
      </c>
      <c r="O274" s="48"/>
      <c r="P274" s="47">
        <f t="shared" si="1444"/>
        <v>0</v>
      </c>
      <c r="Q274" s="47">
        <f t="shared" si="1445"/>
        <v>0</v>
      </c>
      <c r="R274" s="47">
        <f t="shared" si="1446"/>
        <v>0</v>
      </c>
      <c r="S274" s="48"/>
      <c r="T274" s="66">
        <f t="shared" si="1447"/>
        <v>0</v>
      </c>
      <c r="U274" s="67">
        <f t="shared" si="1448"/>
        <v>0</v>
      </c>
      <c r="V274" s="66">
        <f t="shared" si="1449"/>
        <v>0</v>
      </c>
      <c r="W274" s="67">
        <f t="shared" si="1450"/>
        <v>0</v>
      </c>
      <c r="X274" s="48"/>
      <c r="Y274" s="47">
        <f t="shared" si="1451"/>
        <v>0</v>
      </c>
      <c r="Z274" s="47">
        <f t="shared" si="1452"/>
        <v>0</v>
      </c>
      <c r="AA274" s="47">
        <f t="shared" si="1453"/>
        <v>0</v>
      </c>
      <c r="AB274" s="47" t="str">
        <f t="shared" si="1454"/>
        <v/>
      </c>
      <c r="AC274" s="17"/>
      <c r="AD274" s="66">
        <f t="shared" si="1455"/>
        <v>0</v>
      </c>
      <c r="AE274" s="67">
        <f t="shared" si="1456"/>
        <v>0</v>
      </c>
      <c r="AF274" s="66">
        <f t="shared" si="1457"/>
        <v>0</v>
      </c>
      <c r="AG274" s="67">
        <f t="shared" si="1458"/>
        <v>0</v>
      </c>
      <c r="AH274" s="117"/>
      <c r="AI274" s="47" t="str">
        <f t="shared" si="1459"/>
        <v/>
      </c>
      <c r="AJ274" s="47" t="str">
        <f t="shared" ref="AJ274:AT274" si="1460">IFERROR(IF(AJ$3="A",CN274,IF(AJ$3="F",DB274,IF(AJ$3="B",BL274,0))),"")</f>
        <v/>
      </c>
      <c r="AK274" s="47" t="str">
        <f t="shared" si="1460"/>
        <v/>
      </c>
      <c r="AL274" s="47" t="str">
        <f t="shared" si="1460"/>
        <v/>
      </c>
      <c r="AM274" s="47" t="str">
        <f t="shared" si="1460"/>
        <v/>
      </c>
      <c r="AN274" s="47" t="str">
        <f t="shared" si="1460"/>
        <v/>
      </c>
      <c r="AO274" s="47" t="str">
        <f t="shared" si="1460"/>
        <v/>
      </c>
      <c r="AP274" s="47" t="str">
        <f t="shared" si="1460"/>
        <v/>
      </c>
      <c r="AQ274" s="47" t="str">
        <f t="shared" si="1460"/>
        <v/>
      </c>
      <c r="AR274" s="47" t="str">
        <f t="shared" si="1460"/>
        <v/>
      </c>
      <c r="AS274" s="47" t="str">
        <f t="shared" si="1460"/>
        <v/>
      </c>
      <c r="AT274" s="47" t="str">
        <f t="shared" si="1460"/>
        <v/>
      </c>
      <c r="AU274" s="65">
        <f t="shared" si="1461"/>
        <v>0</v>
      </c>
      <c r="AV274" s="11"/>
      <c r="AW274" s="47" t="str">
        <f t="shared" ref="AW274:BH274" si="1462">IFERROR(IF(AW$3="A",CM274,IF(AW$3="B",BK274)),0)</f>
        <v/>
      </c>
      <c r="AX274" s="47" t="str">
        <f t="shared" si="1462"/>
        <v/>
      </c>
      <c r="AY274" s="47" t="str">
        <f t="shared" si="1462"/>
        <v/>
      </c>
      <c r="AZ274" s="47" t="str">
        <f t="shared" si="1462"/>
        <v/>
      </c>
      <c r="BA274" s="47" t="str">
        <f t="shared" si="1462"/>
        <v/>
      </c>
      <c r="BB274" s="47" t="str">
        <f t="shared" si="1462"/>
        <v/>
      </c>
      <c r="BC274" s="47" t="str">
        <f t="shared" si="1462"/>
        <v/>
      </c>
      <c r="BD274" s="47" t="str">
        <f t="shared" si="1462"/>
        <v/>
      </c>
      <c r="BE274" s="47" t="str">
        <f t="shared" si="1462"/>
        <v/>
      </c>
      <c r="BF274" s="47" t="str">
        <f t="shared" si="1462"/>
        <v/>
      </c>
      <c r="BG274" s="47" t="str">
        <f t="shared" si="1462"/>
        <v/>
      </c>
      <c r="BH274" s="47" t="str">
        <f t="shared" si="1462"/>
        <v/>
      </c>
      <c r="BI274" s="65">
        <f t="shared" si="1463"/>
        <v>0</v>
      </c>
      <c r="BJ274" s="117"/>
      <c r="BK274" s="47"/>
      <c r="BL274" s="47"/>
      <c r="BM274" s="47"/>
      <c r="BN274" s="47"/>
      <c r="BO274" s="47"/>
      <c r="BP274" s="47"/>
      <c r="BQ274" s="47"/>
      <c r="BR274" s="47"/>
      <c r="BS274" s="47"/>
      <c r="BT274" s="47"/>
      <c r="BU274" s="47"/>
      <c r="BV274" s="47"/>
      <c r="BW274" s="129">
        <v>0.0</v>
      </c>
      <c r="BX274" s="1"/>
      <c r="BY274" s="47"/>
      <c r="BZ274" s="47"/>
      <c r="CA274" s="47"/>
      <c r="CB274" s="47"/>
      <c r="CC274" s="47"/>
      <c r="CD274" s="47"/>
      <c r="CE274" s="47"/>
      <c r="CF274" s="47"/>
      <c r="CG274" s="47"/>
      <c r="CH274" s="47"/>
      <c r="CI274" s="47"/>
      <c r="CJ274" s="47"/>
      <c r="CK274" s="65"/>
      <c r="CL274" s="47"/>
      <c r="CM274" s="47"/>
      <c r="CN274" s="47"/>
      <c r="CO274" s="47"/>
      <c r="CP274" s="47"/>
      <c r="CQ274" s="47"/>
      <c r="CR274" s="47"/>
      <c r="CS274" s="47"/>
      <c r="CT274" s="47"/>
      <c r="CU274" s="47"/>
      <c r="CV274" s="47"/>
      <c r="CW274" s="47"/>
      <c r="CX274" s="47"/>
      <c r="CY274" s="65"/>
      <c r="CZ274" s="11"/>
      <c r="DA274" s="47" t="str">
        <f t="shared" si="1464"/>
        <v/>
      </c>
      <c r="DB274" s="47"/>
      <c r="DC274" s="47"/>
      <c r="DD274" s="47"/>
      <c r="DE274" s="47"/>
      <c r="DF274" s="47"/>
      <c r="DG274" s="47"/>
      <c r="DH274" s="47"/>
      <c r="DI274" s="47"/>
      <c r="DJ274" s="47"/>
      <c r="DK274" s="47"/>
      <c r="DL274" s="47"/>
      <c r="DM274" s="65">
        <f t="shared" si="1465"/>
        <v>0</v>
      </c>
      <c r="DN274" s="1"/>
      <c r="DO274" s="132"/>
      <c r="DP274" s="132"/>
      <c r="DQ274" s="131"/>
    </row>
    <row r="275" outlineLevel="1">
      <c r="A275" s="15"/>
      <c r="B275" s="275" t="s">
        <v>246</v>
      </c>
      <c r="C275" s="15"/>
      <c r="D275" s="47">
        <f t="shared" si="1434"/>
        <v>0</v>
      </c>
      <c r="E275" s="47">
        <f t="shared" si="1435"/>
        <v>0</v>
      </c>
      <c r="F275" s="47">
        <f t="shared" si="1436"/>
        <v>3074.12</v>
      </c>
      <c r="G275" s="47">
        <f t="shared" si="1437"/>
        <v>0</v>
      </c>
      <c r="H275" s="48"/>
      <c r="I275" s="66">
        <f t="shared" si="1438"/>
        <v>0</v>
      </c>
      <c r="J275" s="67">
        <f t="shared" si="1439"/>
        <v>0</v>
      </c>
      <c r="K275" s="66">
        <f t="shared" si="1440"/>
        <v>3074.12</v>
      </c>
      <c r="L275" s="67">
        <f t="shared" si="1441"/>
        <v>1</v>
      </c>
      <c r="M275" s="66">
        <f t="shared" si="1442"/>
        <v>0</v>
      </c>
      <c r="N275" s="67">
        <f t="shared" si="1443"/>
        <v>0</v>
      </c>
      <c r="O275" s="48"/>
      <c r="P275" s="47">
        <f t="shared" si="1444"/>
        <v>0</v>
      </c>
      <c r="Q275" s="47">
        <f t="shared" si="1445"/>
        <v>18444.72</v>
      </c>
      <c r="R275" s="47">
        <f t="shared" si="1446"/>
        <v>0</v>
      </c>
      <c r="S275" s="48"/>
      <c r="T275" s="66">
        <f t="shared" si="1447"/>
        <v>18444.72</v>
      </c>
      <c r="U275" s="67">
        <f t="shared" si="1448"/>
        <v>1</v>
      </c>
      <c r="V275" s="66">
        <f t="shared" si="1449"/>
        <v>0</v>
      </c>
      <c r="W275" s="67">
        <f t="shared" si="1450"/>
        <v>0</v>
      </c>
      <c r="X275" s="48"/>
      <c r="Y275" s="47">
        <f t="shared" si="1451"/>
        <v>8340</v>
      </c>
      <c r="Z275" s="47">
        <f t="shared" si="1452"/>
        <v>17110.6</v>
      </c>
      <c r="AA275" s="47">
        <f t="shared" si="1453"/>
        <v>35555.32</v>
      </c>
      <c r="AB275" s="47" t="str">
        <f t="shared" si="1454"/>
        <v/>
      </c>
      <c r="AC275" s="17"/>
      <c r="AD275" s="66">
        <f t="shared" si="1455"/>
        <v>27215.32</v>
      </c>
      <c r="AE275" s="67">
        <f t="shared" si="1456"/>
        <v>0.765435946</v>
      </c>
      <c r="AF275" s="66">
        <f t="shared" si="1457"/>
        <v>-8340</v>
      </c>
      <c r="AG275" s="67">
        <f t="shared" si="1458"/>
        <v>0</v>
      </c>
      <c r="AH275" s="117"/>
      <c r="AI275" s="47" t="str">
        <f t="shared" si="1459"/>
        <v/>
      </c>
      <c r="AJ275" s="47" t="str">
        <f t="shared" ref="AJ275:AT275" si="1466">IFERROR(IF(AJ$3="A",CN275,IF(AJ$3="F",DB275,IF(AJ$3="B",BL275,0))),"")</f>
        <v/>
      </c>
      <c r="AK275" s="47" t="str">
        <f t="shared" si="1466"/>
        <v/>
      </c>
      <c r="AL275" s="47" t="str">
        <f t="shared" si="1466"/>
        <v/>
      </c>
      <c r="AM275" s="47" t="str">
        <f t="shared" si="1466"/>
        <v/>
      </c>
      <c r="AN275" s="47" t="str">
        <f t="shared" si="1466"/>
        <v/>
      </c>
      <c r="AO275" s="47" t="str">
        <f t="shared" si="1466"/>
        <v/>
      </c>
      <c r="AP275" s="47" t="str">
        <f t="shared" si="1466"/>
        <v/>
      </c>
      <c r="AQ275" s="47" t="str">
        <f t="shared" si="1466"/>
        <v/>
      </c>
      <c r="AR275" s="47">
        <f t="shared" si="1466"/>
        <v>2848.24</v>
      </c>
      <c r="AS275" s="47">
        <f t="shared" si="1466"/>
        <v>2745.88</v>
      </c>
      <c r="AT275" s="47">
        <f t="shared" si="1466"/>
        <v>2745.88</v>
      </c>
      <c r="AU275" s="65">
        <f t="shared" si="1461"/>
        <v>8340</v>
      </c>
      <c r="AV275" s="11"/>
      <c r="AW275" s="47" t="str">
        <f t="shared" ref="AW275:BH275" si="1467">IFERROR(IF(AW$3="A",CM275,IF(AW$3="B",BK275)),0)</f>
        <v/>
      </c>
      <c r="AX275" s="47" t="str">
        <f t="shared" si="1467"/>
        <v/>
      </c>
      <c r="AY275" s="47" t="str">
        <f t="shared" si="1467"/>
        <v/>
      </c>
      <c r="AZ275" s="47" t="str">
        <f t="shared" si="1467"/>
        <v/>
      </c>
      <c r="BA275" s="47" t="str">
        <f t="shared" si="1467"/>
        <v/>
      </c>
      <c r="BB275" s="47" t="str">
        <f t="shared" si="1467"/>
        <v/>
      </c>
      <c r="BC275" s="47">
        <f t="shared" si="1467"/>
        <v>3074.12</v>
      </c>
      <c r="BD275" s="47">
        <f t="shared" si="1467"/>
        <v>2848.24</v>
      </c>
      <c r="BE275" s="47">
        <f t="shared" si="1467"/>
        <v>2848.24</v>
      </c>
      <c r="BF275" s="47">
        <f t="shared" si="1467"/>
        <v>2848.24</v>
      </c>
      <c r="BG275" s="47">
        <f t="shared" si="1467"/>
        <v>2745.88</v>
      </c>
      <c r="BH275" s="47">
        <f t="shared" si="1467"/>
        <v>2745.88</v>
      </c>
      <c r="BI275" s="65">
        <f t="shared" si="1463"/>
        <v>17110.6</v>
      </c>
      <c r="BJ275" s="117"/>
      <c r="BK275" s="128">
        <v>3074.12</v>
      </c>
      <c r="BL275" s="128">
        <v>3074.12</v>
      </c>
      <c r="BM275" s="128">
        <v>3074.12</v>
      </c>
      <c r="BN275" s="128">
        <v>3074.12</v>
      </c>
      <c r="BO275" s="128">
        <v>3074.12</v>
      </c>
      <c r="BP275" s="128">
        <v>3074.12</v>
      </c>
      <c r="BQ275" s="128">
        <v>3074.12</v>
      </c>
      <c r="BR275" s="128">
        <v>2848.24</v>
      </c>
      <c r="BS275" s="128">
        <v>2848.24</v>
      </c>
      <c r="BT275" s="128">
        <v>2848.24</v>
      </c>
      <c r="BU275" s="128">
        <v>2745.88</v>
      </c>
      <c r="BV275" s="128">
        <v>2745.88</v>
      </c>
      <c r="BW275" s="129">
        <v>35555.32</v>
      </c>
      <c r="BX275" s="1"/>
      <c r="BY275" s="47"/>
      <c r="BZ275" s="47"/>
      <c r="CA275" s="47"/>
      <c r="CB275" s="47"/>
      <c r="CC275" s="47"/>
      <c r="CD275" s="47"/>
      <c r="CE275" s="47"/>
      <c r="CF275" s="47"/>
      <c r="CG275" s="47"/>
      <c r="CH275" s="47"/>
      <c r="CI275" s="47"/>
      <c r="CJ275" s="47"/>
      <c r="CK275" s="65"/>
      <c r="CL275" s="47"/>
      <c r="CM275" s="47"/>
      <c r="CN275" s="47"/>
      <c r="CO275" s="47"/>
      <c r="CP275" s="47"/>
      <c r="CQ275" s="47"/>
      <c r="CR275" s="47"/>
      <c r="CS275" s="47"/>
      <c r="CT275" s="47"/>
      <c r="CU275" s="47"/>
      <c r="CV275" s="47"/>
      <c r="CW275" s="47"/>
      <c r="CX275" s="47"/>
      <c r="CY275" s="65"/>
      <c r="CZ275" s="11"/>
      <c r="DA275" s="47">
        <f t="shared" si="1464"/>
        <v>3074.12</v>
      </c>
      <c r="DB275" s="47"/>
      <c r="DC275" s="47"/>
      <c r="DD275" s="47"/>
      <c r="DE275" s="47"/>
      <c r="DF275" s="47"/>
      <c r="DG275" s="47"/>
      <c r="DH275" s="47"/>
      <c r="DI275" s="47"/>
      <c r="DJ275" s="47"/>
      <c r="DK275" s="47"/>
      <c r="DL275" s="47"/>
      <c r="DM275" s="65">
        <f t="shared" si="1465"/>
        <v>3074.12</v>
      </c>
      <c r="DN275" s="1"/>
      <c r="DO275" s="130"/>
      <c r="DP275" s="130"/>
      <c r="DQ275" s="131"/>
    </row>
    <row r="276" outlineLevel="1">
      <c r="A276" s="51"/>
      <c r="B276" s="275" t="s">
        <v>247</v>
      </c>
      <c r="C276" s="15"/>
      <c r="D276" s="47">
        <f t="shared" si="1434"/>
        <v>0</v>
      </c>
      <c r="E276" s="47">
        <f t="shared" si="1435"/>
        <v>0</v>
      </c>
      <c r="F276" s="47">
        <f t="shared" si="1436"/>
        <v>0</v>
      </c>
      <c r="G276" s="47">
        <f t="shared" si="1437"/>
        <v>0</v>
      </c>
      <c r="H276" s="48"/>
      <c r="I276" s="66">
        <f t="shared" si="1438"/>
        <v>0</v>
      </c>
      <c r="J276" s="67">
        <f t="shared" si="1439"/>
        <v>0</v>
      </c>
      <c r="K276" s="66">
        <f t="shared" si="1440"/>
        <v>0</v>
      </c>
      <c r="L276" s="67">
        <f t="shared" si="1441"/>
        <v>0</v>
      </c>
      <c r="M276" s="66">
        <f t="shared" si="1442"/>
        <v>0</v>
      </c>
      <c r="N276" s="67">
        <f t="shared" si="1443"/>
        <v>0</v>
      </c>
      <c r="O276" s="48"/>
      <c r="P276" s="47">
        <f t="shared" si="1444"/>
        <v>0</v>
      </c>
      <c r="Q276" s="47">
        <f t="shared" si="1445"/>
        <v>0</v>
      </c>
      <c r="R276" s="47">
        <f t="shared" si="1446"/>
        <v>0</v>
      </c>
      <c r="S276" s="48"/>
      <c r="T276" s="66">
        <f t="shared" si="1447"/>
        <v>0</v>
      </c>
      <c r="U276" s="67">
        <f t="shared" si="1448"/>
        <v>0</v>
      </c>
      <c r="V276" s="66">
        <f t="shared" si="1449"/>
        <v>0</v>
      </c>
      <c r="W276" s="67">
        <f t="shared" si="1450"/>
        <v>0</v>
      </c>
      <c r="X276" s="48"/>
      <c r="Y276" s="47">
        <f t="shared" si="1451"/>
        <v>0</v>
      </c>
      <c r="Z276" s="47">
        <f t="shared" si="1452"/>
        <v>0</v>
      </c>
      <c r="AA276" s="47">
        <f t="shared" si="1453"/>
        <v>0</v>
      </c>
      <c r="AB276" s="47" t="str">
        <f t="shared" si="1454"/>
        <v/>
      </c>
      <c r="AC276" s="17"/>
      <c r="AD276" s="66">
        <f t="shared" si="1455"/>
        <v>0</v>
      </c>
      <c r="AE276" s="67">
        <f t="shared" si="1456"/>
        <v>0</v>
      </c>
      <c r="AF276" s="66">
        <f t="shared" si="1457"/>
        <v>0</v>
      </c>
      <c r="AG276" s="67">
        <f t="shared" si="1458"/>
        <v>0</v>
      </c>
      <c r="AH276" s="117"/>
      <c r="AI276" s="47" t="str">
        <f t="shared" si="1459"/>
        <v/>
      </c>
      <c r="AJ276" s="47" t="str">
        <f t="shared" ref="AJ276:AT276" si="1468">IFERROR(IF(AJ$3="A",CN276,IF(AJ$3="F",DB276,IF(AJ$3="B",BL276,0))),"")</f>
        <v/>
      </c>
      <c r="AK276" s="47" t="str">
        <f t="shared" si="1468"/>
        <v/>
      </c>
      <c r="AL276" s="47" t="str">
        <f t="shared" si="1468"/>
        <v/>
      </c>
      <c r="AM276" s="47" t="str">
        <f t="shared" si="1468"/>
        <v/>
      </c>
      <c r="AN276" s="47" t="str">
        <f t="shared" si="1468"/>
        <v/>
      </c>
      <c r="AO276" s="47" t="str">
        <f t="shared" si="1468"/>
        <v/>
      </c>
      <c r="AP276" s="47" t="str">
        <f t="shared" si="1468"/>
        <v/>
      </c>
      <c r="AQ276" s="47" t="str">
        <f t="shared" si="1468"/>
        <v/>
      </c>
      <c r="AR276" s="47" t="str">
        <f t="shared" si="1468"/>
        <v/>
      </c>
      <c r="AS276" s="47" t="str">
        <f t="shared" si="1468"/>
        <v/>
      </c>
      <c r="AT276" s="47" t="str">
        <f t="shared" si="1468"/>
        <v/>
      </c>
      <c r="AU276" s="65">
        <f t="shared" si="1461"/>
        <v>0</v>
      </c>
      <c r="AV276" s="11"/>
      <c r="AW276" s="47" t="str">
        <f t="shared" ref="AW276:BH276" si="1469">IFERROR(IF(AW$3="A",CM276,IF(AW$3="B",BK276)),0)</f>
        <v/>
      </c>
      <c r="AX276" s="47" t="str">
        <f t="shared" si="1469"/>
        <v/>
      </c>
      <c r="AY276" s="47" t="str">
        <f t="shared" si="1469"/>
        <v/>
      </c>
      <c r="AZ276" s="47" t="str">
        <f t="shared" si="1469"/>
        <v/>
      </c>
      <c r="BA276" s="47" t="str">
        <f t="shared" si="1469"/>
        <v/>
      </c>
      <c r="BB276" s="47" t="str">
        <f t="shared" si="1469"/>
        <v/>
      </c>
      <c r="BC276" s="47" t="str">
        <f t="shared" si="1469"/>
        <v/>
      </c>
      <c r="BD276" s="47" t="str">
        <f t="shared" si="1469"/>
        <v/>
      </c>
      <c r="BE276" s="47" t="str">
        <f t="shared" si="1469"/>
        <v/>
      </c>
      <c r="BF276" s="47" t="str">
        <f t="shared" si="1469"/>
        <v/>
      </c>
      <c r="BG276" s="47" t="str">
        <f t="shared" si="1469"/>
        <v/>
      </c>
      <c r="BH276" s="47" t="str">
        <f t="shared" si="1469"/>
        <v/>
      </c>
      <c r="BI276" s="65">
        <f t="shared" si="1463"/>
        <v>0</v>
      </c>
      <c r="BJ276" s="117"/>
      <c r="BK276" s="47"/>
      <c r="BL276" s="47"/>
      <c r="BM276" s="47"/>
      <c r="BN276" s="47"/>
      <c r="BO276" s="47"/>
      <c r="BP276" s="47"/>
      <c r="BQ276" s="47"/>
      <c r="BR276" s="47"/>
      <c r="BS276" s="47"/>
      <c r="BT276" s="47"/>
      <c r="BU276" s="47"/>
      <c r="BV276" s="47"/>
      <c r="BW276" s="129">
        <v>0.0</v>
      </c>
      <c r="BX276" s="1"/>
      <c r="BY276" s="47"/>
      <c r="BZ276" s="47"/>
      <c r="CA276" s="47"/>
      <c r="CB276" s="47"/>
      <c r="CC276" s="47"/>
      <c r="CD276" s="47"/>
      <c r="CE276" s="47"/>
      <c r="CF276" s="47"/>
      <c r="CG276" s="47"/>
      <c r="CH276" s="47"/>
      <c r="CI276" s="47"/>
      <c r="CJ276" s="47"/>
      <c r="CK276" s="65"/>
      <c r="CL276" s="47"/>
      <c r="CM276" s="47"/>
      <c r="CN276" s="47"/>
      <c r="CO276" s="47"/>
      <c r="CP276" s="47"/>
      <c r="CQ276" s="47"/>
      <c r="CR276" s="47"/>
      <c r="CS276" s="47"/>
      <c r="CT276" s="47"/>
      <c r="CU276" s="47"/>
      <c r="CV276" s="47"/>
      <c r="CW276" s="47"/>
      <c r="CX276" s="47"/>
      <c r="CY276" s="65"/>
      <c r="CZ276" s="11"/>
      <c r="DA276" s="47" t="str">
        <f t="shared" si="1464"/>
        <v/>
      </c>
      <c r="DB276" s="47"/>
      <c r="DC276" s="47"/>
      <c r="DD276" s="47"/>
      <c r="DE276" s="47"/>
      <c r="DF276" s="47"/>
      <c r="DG276" s="47"/>
      <c r="DH276" s="47"/>
      <c r="DI276" s="47"/>
      <c r="DJ276" s="47"/>
      <c r="DK276" s="47"/>
      <c r="DL276" s="47"/>
      <c r="DM276" s="65">
        <f t="shared" si="1465"/>
        <v>0</v>
      </c>
      <c r="DN276" s="1"/>
      <c r="DO276" s="132"/>
      <c r="DP276" s="132"/>
      <c r="DQ276" s="131"/>
    </row>
    <row r="277" outlineLevel="1">
      <c r="A277" s="15"/>
      <c r="B277" s="275" t="s">
        <v>248</v>
      </c>
      <c r="C277" s="15"/>
      <c r="D277" s="47">
        <f t="shared" si="1434"/>
        <v>0</v>
      </c>
      <c r="E277" s="47">
        <f t="shared" si="1435"/>
        <v>0</v>
      </c>
      <c r="F277" s="47">
        <f t="shared" si="1436"/>
        <v>0</v>
      </c>
      <c r="G277" s="47">
        <f t="shared" si="1437"/>
        <v>0</v>
      </c>
      <c r="H277" s="48"/>
      <c r="I277" s="66">
        <f t="shared" si="1438"/>
        <v>0</v>
      </c>
      <c r="J277" s="67">
        <f t="shared" si="1439"/>
        <v>0</v>
      </c>
      <c r="K277" s="66">
        <f t="shared" si="1440"/>
        <v>0</v>
      </c>
      <c r="L277" s="67">
        <f t="shared" si="1441"/>
        <v>0</v>
      </c>
      <c r="M277" s="66">
        <f t="shared" si="1442"/>
        <v>0</v>
      </c>
      <c r="N277" s="67">
        <f t="shared" si="1443"/>
        <v>0</v>
      </c>
      <c r="O277" s="48"/>
      <c r="P277" s="47">
        <f t="shared" si="1444"/>
        <v>0</v>
      </c>
      <c r="Q277" s="47">
        <f t="shared" si="1445"/>
        <v>0</v>
      </c>
      <c r="R277" s="47">
        <f t="shared" si="1446"/>
        <v>0</v>
      </c>
      <c r="S277" s="48"/>
      <c r="T277" s="66">
        <f t="shared" si="1447"/>
        <v>0</v>
      </c>
      <c r="U277" s="67">
        <f t="shared" si="1448"/>
        <v>0</v>
      </c>
      <c r="V277" s="66">
        <f t="shared" si="1449"/>
        <v>0</v>
      </c>
      <c r="W277" s="67">
        <f t="shared" si="1450"/>
        <v>0</v>
      </c>
      <c r="X277" s="48"/>
      <c r="Y277" s="47">
        <f t="shared" si="1451"/>
        <v>0</v>
      </c>
      <c r="Z277" s="47">
        <f t="shared" si="1452"/>
        <v>0</v>
      </c>
      <c r="AA277" s="47">
        <f t="shared" si="1453"/>
        <v>0</v>
      </c>
      <c r="AB277" s="47" t="str">
        <f t="shared" si="1454"/>
        <v/>
      </c>
      <c r="AC277" s="17"/>
      <c r="AD277" s="66">
        <f t="shared" si="1455"/>
        <v>0</v>
      </c>
      <c r="AE277" s="67">
        <f t="shared" si="1456"/>
        <v>0</v>
      </c>
      <c r="AF277" s="66">
        <f t="shared" si="1457"/>
        <v>0</v>
      </c>
      <c r="AG277" s="67">
        <f t="shared" si="1458"/>
        <v>0</v>
      </c>
      <c r="AH277" s="117"/>
      <c r="AI277" s="47" t="str">
        <f t="shared" si="1459"/>
        <v/>
      </c>
      <c r="AJ277" s="47" t="str">
        <f t="shared" ref="AJ277:AT277" si="1470">IFERROR(IF(AJ$3="A",CN277,IF(AJ$3="F",DB277,IF(AJ$3="B",BL277,0))),"")</f>
        <v/>
      </c>
      <c r="AK277" s="47" t="str">
        <f t="shared" si="1470"/>
        <v/>
      </c>
      <c r="AL277" s="47" t="str">
        <f t="shared" si="1470"/>
        <v/>
      </c>
      <c r="AM277" s="47" t="str">
        <f t="shared" si="1470"/>
        <v/>
      </c>
      <c r="AN277" s="47" t="str">
        <f t="shared" si="1470"/>
        <v/>
      </c>
      <c r="AO277" s="47" t="str">
        <f t="shared" si="1470"/>
        <v/>
      </c>
      <c r="AP277" s="47" t="str">
        <f t="shared" si="1470"/>
        <v/>
      </c>
      <c r="AQ277" s="47" t="str">
        <f t="shared" si="1470"/>
        <v/>
      </c>
      <c r="AR277" s="47" t="str">
        <f t="shared" si="1470"/>
        <v/>
      </c>
      <c r="AS277" s="47" t="str">
        <f t="shared" si="1470"/>
        <v/>
      </c>
      <c r="AT277" s="47" t="str">
        <f t="shared" si="1470"/>
        <v/>
      </c>
      <c r="AU277" s="65">
        <f t="shared" si="1461"/>
        <v>0</v>
      </c>
      <c r="AV277" s="11"/>
      <c r="AW277" s="47" t="str">
        <f t="shared" ref="AW277:BH277" si="1471">IFERROR(IF(AW$3="A",CM277,IF(AW$3="B",BK277)),0)</f>
        <v/>
      </c>
      <c r="AX277" s="47" t="str">
        <f t="shared" si="1471"/>
        <v/>
      </c>
      <c r="AY277" s="47" t="str">
        <f t="shared" si="1471"/>
        <v/>
      </c>
      <c r="AZ277" s="47" t="str">
        <f t="shared" si="1471"/>
        <v/>
      </c>
      <c r="BA277" s="47" t="str">
        <f t="shared" si="1471"/>
        <v/>
      </c>
      <c r="BB277" s="47" t="str">
        <f t="shared" si="1471"/>
        <v/>
      </c>
      <c r="BC277" s="47" t="str">
        <f t="shared" si="1471"/>
        <v/>
      </c>
      <c r="BD277" s="47" t="str">
        <f t="shared" si="1471"/>
        <v/>
      </c>
      <c r="BE277" s="47" t="str">
        <f t="shared" si="1471"/>
        <v/>
      </c>
      <c r="BF277" s="47" t="str">
        <f t="shared" si="1471"/>
        <v/>
      </c>
      <c r="BG277" s="47" t="str">
        <f t="shared" si="1471"/>
        <v/>
      </c>
      <c r="BH277" s="47" t="str">
        <f t="shared" si="1471"/>
        <v/>
      </c>
      <c r="BI277" s="65">
        <f t="shared" si="1463"/>
        <v>0</v>
      </c>
      <c r="BJ277" s="117"/>
      <c r="BK277" s="47"/>
      <c r="BL277" s="47"/>
      <c r="BM277" s="47"/>
      <c r="BN277" s="47"/>
      <c r="BO277" s="47"/>
      <c r="BP277" s="47"/>
      <c r="BQ277" s="47"/>
      <c r="BR277" s="47"/>
      <c r="BS277" s="47"/>
      <c r="BT277" s="47"/>
      <c r="BU277" s="47"/>
      <c r="BV277" s="47"/>
      <c r="BW277" s="129">
        <v>0.0</v>
      </c>
      <c r="BX277" s="1"/>
      <c r="BY277" s="47"/>
      <c r="BZ277" s="47"/>
      <c r="CA277" s="47"/>
      <c r="CB277" s="47"/>
      <c r="CC277" s="47"/>
      <c r="CD277" s="47"/>
      <c r="CE277" s="47"/>
      <c r="CF277" s="47"/>
      <c r="CG277" s="47"/>
      <c r="CH277" s="47"/>
      <c r="CI277" s="47"/>
      <c r="CJ277" s="47"/>
      <c r="CK277" s="65"/>
      <c r="CL277" s="47"/>
      <c r="CM277" s="47"/>
      <c r="CN277" s="47"/>
      <c r="CO277" s="47"/>
      <c r="CP277" s="47"/>
      <c r="CQ277" s="47"/>
      <c r="CR277" s="47"/>
      <c r="CS277" s="47"/>
      <c r="CT277" s="47"/>
      <c r="CU277" s="47"/>
      <c r="CV277" s="47"/>
      <c r="CW277" s="47"/>
      <c r="CX277" s="47"/>
      <c r="CY277" s="65"/>
      <c r="CZ277" s="11"/>
      <c r="DA277" s="47" t="str">
        <f t="shared" si="1464"/>
        <v/>
      </c>
      <c r="DB277" s="47"/>
      <c r="DC277" s="47"/>
      <c r="DD277" s="47"/>
      <c r="DE277" s="47"/>
      <c r="DF277" s="47"/>
      <c r="DG277" s="47"/>
      <c r="DH277" s="47"/>
      <c r="DI277" s="47"/>
      <c r="DJ277" s="47"/>
      <c r="DK277" s="47"/>
      <c r="DL277" s="47"/>
      <c r="DM277" s="65">
        <f t="shared" si="1465"/>
        <v>0</v>
      </c>
      <c r="DN277" s="1"/>
      <c r="DO277" s="130"/>
      <c r="DP277" s="130"/>
      <c r="DQ277" s="131"/>
    </row>
    <row r="278" outlineLevel="1">
      <c r="A278" s="15"/>
      <c r="B278" s="275" t="s">
        <v>249</v>
      </c>
      <c r="C278" s="15"/>
      <c r="D278" s="47">
        <f t="shared" si="1434"/>
        <v>0</v>
      </c>
      <c r="E278" s="47">
        <f t="shared" si="1435"/>
        <v>0</v>
      </c>
      <c r="F278" s="47">
        <f t="shared" si="1436"/>
        <v>11742</v>
      </c>
      <c r="G278" s="47">
        <f t="shared" si="1437"/>
        <v>0</v>
      </c>
      <c r="H278" s="48"/>
      <c r="I278" s="66">
        <f t="shared" si="1438"/>
        <v>0</v>
      </c>
      <c r="J278" s="67">
        <f t="shared" si="1439"/>
        <v>0</v>
      </c>
      <c r="K278" s="66">
        <f t="shared" si="1440"/>
        <v>11742</v>
      </c>
      <c r="L278" s="67">
        <f t="shared" si="1441"/>
        <v>1</v>
      </c>
      <c r="M278" s="66">
        <f t="shared" si="1442"/>
        <v>0</v>
      </c>
      <c r="N278" s="67">
        <f t="shared" si="1443"/>
        <v>0</v>
      </c>
      <c r="O278" s="48"/>
      <c r="P278" s="47">
        <f t="shared" si="1444"/>
        <v>0</v>
      </c>
      <c r="Q278" s="47">
        <f t="shared" si="1445"/>
        <v>74469</v>
      </c>
      <c r="R278" s="47">
        <f t="shared" si="1446"/>
        <v>0</v>
      </c>
      <c r="S278" s="48"/>
      <c r="T278" s="66">
        <f t="shared" si="1447"/>
        <v>74469</v>
      </c>
      <c r="U278" s="67">
        <f t="shared" si="1448"/>
        <v>1</v>
      </c>
      <c r="V278" s="66">
        <f t="shared" si="1449"/>
        <v>0</v>
      </c>
      <c r="W278" s="67">
        <f t="shared" si="1450"/>
        <v>0</v>
      </c>
      <c r="X278" s="48"/>
      <c r="Y278" s="47">
        <f t="shared" si="1451"/>
        <v>35515</v>
      </c>
      <c r="Z278" s="47">
        <f t="shared" si="1452"/>
        <v>71362</v>
      </c>
      <c r="AA278" s="47">
        <f t="shared" si="1453"/>
        <v>145831</v>
      </c>
      <c r="AB278" s="47" t="str">
        <f t="shared" si="1454"/>
        <v/>
      </c>
      <c r="AC278" s="17"/>
      <c r="AD278" s="66">
        <f t="shared" si="1455"/>
        <v>110316</v>
      </c>
      <c r="AE278" s="67">
        <f t="shared" si="1456"/>
        <v>0.7564646749</v>
      </c>
      <c r="AF278" s="66">
        <f t="shared" si="1457"/>
        <v>-35515</v>
      </c>
      <c r="AG278" s="67">
        <f t="shared" si="1458"/>
        <v>0</v>
      </c>
      <c r="AH278" s="117"/>
      <c r="AI278" s="47" t="str">
        <f t="shared" si="1459"/>
        <v/>
      </c>
      <c r="AJ278" s="47" t="str">
        <f t="shared" ref="AJ278:AT278" si="1472">IFERROR(IF(AJ$3="A",CN278,IF(AJ$3="F",DB278,IF(AJ$3="B",BL278,0))),"")</f>
        <v/>
      </c>
      <c r="AK278" s="47" t="str">
        <f t="shared" si="1472"/>
        <v/>
      </c>
      <c r="AL278" s="47" t="str">
        <f t="shared" si="1472"/>
        <v/>
      </c>
      <c r="AM278" s="47" t="str">
        <f t="shared" si="1472"/>
        <v/>
      </c>
      <c r="AN278" s="47" t="str">
        <f t="shared" si="1472"/>
        <v/>
      </c>
      <c r="AO278" s="47" t="str">
        <f t="shared" si="1472"/>
        <v/>
      </c>
      <c r="AP278" s="47" t="str">
        <f t="shared" si="1472"/>
        <v/>
      </c>
      <c r="AQ278" s="47" t="str">
        <f t="shared" si="1472"/>
        <v/>
      </c>
      <c r="AR278" s="47">
        <f t="shared" si="1472"/>
        <v>11967</v>
      </c>
      <c r="AS278" s="47">
        <f t="shared" si="1472"/>
        <v>11581</v>
      </c>
      <c r="AT278" s="47">
        <f t="shared" si="1472"/>
        <v>11967</v>
      </c>
      <c r="AU278" s="65">
        <f t="shared" si="1461"/>
        <v>35515</v>
      </c>
      <c r="AV278" s="11"/>
      <c r="AW278" s="47" t="str">
        <f t="shared" ref="AW278:BH278" si="1473">IFERROR(IF(AW$3="A",CM278,IF(AW$3="B",BK278)),0)</f>
        <v/>
      </c>
      <c r="AX278" s="47" t="str">
        <f t="shared" si="1473"/>
        <v/>
      </c>
      <c r="AY278" s="47" t="str">
        <f t="shared" si="1473"/>
        <v/>
      </c>
      <c r="AZ278" s="47" t="str">
        <f t="shared" si="1473"/>
        <v/>
      </c>
      <c r="BA278" s="47" t="str">
        <f t="shared" si="1473"/>
        <v/>
      </c>
      <c r="BB278" s="47" t="str">
        <f t="shared" si="1473"/>
        <v/>
      </c>
      <c r="BC278" s="47">
        <f t="shared" si="1473"/>
        <v>12133</v>
      </c>
      <c r="BD278" s="47">
        <f t="shared" si="1473"/>
        <v>12133</v>
      </c>
      <c r="BE278" s="47">
        <f t="shared" si="1473"/>
        <v>11581</v>
      </c>
      <c r="BF278" s="47">
        <f t="shared" si="1473"/>
        <v>11967</v>
      </c>
      <c r="BG278" s="47">
        <f t="shared" si="1473"/>
        <v>11581</v>
      </c>
      <c r="BH278" s="47">
        <f t="shared" si="1473"/>
        <v>11967</v>
      </c>
      <c r="BI278" s="65">
        <f t="shared" si="1463"/>
        <v>71362</v>
      </c>
      <c r="BJ278" s="117"/>
      <c r="BK278" s="128">
        <v>13487.0</v>
      </c>
      <c r="BL278" s="128">
        <v>13052.0</v>
      </c>
      <c r="BM278" s="128">
        <v>12133.0</v>
      </c>
      <c r="BN278" s="128">
        <v>11922.0</v>
      </c>
      <c r="BO278" s="128">
        <v>12133.0</v>
      </c>
      <c r="BP278" s="128">
        <v>11742.0</v>
      </c>
      <c r="BQ278" s="128">
        <v>12133.0</v>
      </c>
      <c r="BR278" s="128">
        <v>12133.0</v>
      </c>
      <c r="BS278" s="128">
        <v>11581.0</v>
      </c>
      <c r="BT278" s="128">
        <v>11967.0</v>
      </c>
      <c r="BU278" s="128">
        <v>11581.0</v>
      </c>
      <c r="BV278" s="128">
        <v>11967.0</v>
      </c>
      <c r="BW278" s="129">
        <v>145831.0</v>
      </c>
      <c r="BX278" s="1"/>
      <c r="BY278" s="47"/>
      <c r="BZ278" s="47"/>
      <c r="CA278" s="47"/>
      <c r="CB278" s="47"/>
      <c r="CC278" s="47"/>
      <c r="CD278" s="47"/>
      <c r="CE278" s="47"/>
      <c r="CF278" s="47"/>
      <c r="CG278" s="47"/>
      <c r="CH278" s="47"/>
      <c r="CI278" s="47"/>
      <c r="CJ278" s="47"/>
      <c r="CK278" s="65"/>
      <c r="CL278" s="47"/>
      <c r="CM278" s="47"/>
      <c r="CN278" s="47"/>
      <c r="CO278" s="47"/>
      <c r="CP278" s="47"/>
      <c r="CQ278" s="47"/>
      <c r="CR278" s="47"/>
      <c r="CS278" s="47"/>
      <c r="CT278" s="47"/>
      <c r="CU278" s="47"/>
      <c r="CV278" s="47"/>
      <c r="CW278" s="47"/>
      <c r="CX278" s="47"/>
      <c r="CY278" s="65"/>
      <c r="CZ278" s="11"/>
      <c r="DA278" s="47">
        <f t="shared" si="1464"/>
        <v>13487</v>
      </c>
      <c r="DB278" s="47"/>
      <c r="DC278" s="47"/>
      <c r="DD278" s="47"/>
      <c r="DE278" s="47"/>
      <c r="DF278" s="47"/>
      <c r="DG278" s="47"/>
      <c r="DH278" s="47"/>
      <c r="DI278" s="47"/>
      <c r="DJ278" s="47"/>
      <c r="DK278" s="47"/>
      <c r="DL278" s="47"/>
      <c r="DM278" s="65">
        <f t="shared" si="1465"/>
        <v>13487</v>
      </c>
      <c r="DN278" s="1"/>
      <c r="DO278" s="130"/>
      <c r="DP278" s="130"/>
      <c r="DQ278" s="186"/>
    </row>
    <row r="279" outlineLevel="1">
      <c r="A279" s="15"/>
      <c r="B279" s="275" t="s">
        <v>39</v>
      </c>
      <c r="C279" s="15"/>
      <c r="D279" s="47">
        <f t="shared" si="1434"/>
        <v>0</v>
      </c>
      <c r="E279" s="47">
        <f t="shared" si="1435"/>
        <v>0</v>
      </c>
      <c r="F279" s="47">
        <f t="shared" si="1436"/>
        <v>0</v>
      </c>
      <c r="G279" s="47">
        <f t="shared" si="1437"/>
        <v>0</v>
      </c>
      <c r="H279" s="48"/>
      <c r="I279" s="66">
        <f t="shared" si="1438"/>
        <v>0</v>
      </c>
      <c r="J279" s="67">
        <f t="shared" si="1439"/>
        <v>0</v>
      </c>
      <c r="K279" s="66">
        <f t="shared" si="1440"/>
        <v>0</v>
      </c>
      <c r="L279" s="67">
        <f t="shared" si="1441"/>
        <v>0</v>
      </c>
      <c r="M279" s="66">
        <f t="shared" si="1442"/>
        <v>0</v>
      </c>
      <c r="N279" s="67">
        <f t="shared" si="1443"/>
        <v>0</v>
      </c>
      <c r="O279" s="48"/>
      <c r="P279" s="47">
        <f t="shared" si="1444"/>
        <v>0</v>
      </c>
      <c r="Q279" s="47">
        <f t="shared" si="1445"/>
        <v>0</v>
      </c>
      <c r="R279" s="47">
        <f t="shared" si="1446"/>
        <v>0</v>
      </c>
      <c r="S279" s="48"/>
      <c r="T279" s="66">
        <f t="shared" si="1447"/>
        <v>0</v>
      </c>
      <c r="U279" s="67">
        <f t="shared" si="1448"/>
        <v>0</v>
      </c>
      <c r="V279" s="66">
        <f t="shared" si="1449"/>
        <v>0</v>
      </c>
      <c r="W279" s="67">
        <f t="shared" si="1450"/>
        <v>0</v>
      </c>
      <c r="X279" s="48"/>
      <c r="Y279" s="47">
        <f t="shared" si="1451"/>
        <v>0</v>
      </c>
      <c r="Z279" s="47">
        <f t="shared" si="1452"/>
        <v>0</v>
      </c>
      <c r="AA279" s="47">
        <f t="shared" si="1453"/>
        <v>0</v>
      </c>
      <c r="AB279" s="47" t="str">
        <f t="shared" si="1454"/>
        <v/>
      </c>
      <c r="AC279" s="17"/>
      <c r="AD279" s="66">
        <f t="shared" si="1455"/>
        <v>0</v>
      </c>
      <c r="AE279" s="67">
        <f t="shared" si="1456"/>
        <v>0</v>
      </c>
      <c r="AF279" s="66">
        <f t="shared" si="1457"/>
        <v>0</v>
      </c>
      <c r="AG279" s="67">
        <f t="shared" si="1458"/>
        <v>0</v>
      </c>
      <c r="AH279" s="117"/>
      <c r="AI279" s="47" t="str">
        <f t="shared" si="1459"/>
        <v/>
      </c>
      <c r="AJ279" s="47" t="str">
        <f t="shared" ref="AJ279:AT279" si="1474">IFERROR(IF(AJ$3="A",CN279,IF(AJ$3="F",DB279,IF(AJ$3="B",BL279,0))),"")</f>
        <v/>
      </c>
      <c r="AK279" s="47" t="str">
        <f t="shared" si="1474"/>
        <v/>
      </c>
      <c r="AL279" s="47" t="str">
        <f t="shared" si="1474"/>
        <v/>
      </c>
      <c r="AM279" s="47" t="str">
        <f t="shared" si="1474"/>
        <v/>
      </c>
      <c r="AN279" s="47" t="str">
        <f t="shared" si="1474"/>
        <v/>
      </c>
      <c r="AO279" s="47" t="str">
        <f t="shared" si="1474"/>
        <v/>
      </c>
      <c r="AP279" s="47" t="str">
        <f t="shared" si="1474"/>
        <v/>
      </c>
      <c r="AQ279" s="47" t="str">
        <f t="shared" si="1474"/>
        <v/>
      </c>
      <c r="AR279" s="47" t="str">
        <f t="shared" si="1474"/>
        <v/>
      </c>
      <c r="AS279" s="47" t="str">
        <f t="shared" si="1474"/>
        <v/>
      </c>
      <c r="AT279" s="47" t="str">
        <f t="shared" si="1474"/>
        <v/>
      </c>
      <c r="AU279" s="65">
        <f t="shared" si="1461"/>
        <v>0</v>
      </c>
      <c r="AV279" s="11"/>
      <c r="AW279" s="47" t="str">
        <f t="shared" ref="AW279:BH279" si="1475">IFERROR(IF(AW$3="A",CM279,IF(AW$3="B",BK279)),0)</f>
        <v/>
      </c>
      <c r="AX279" s="47" t="str">
        <f t="shared" si="1475"/>
        <v/>
      </c>
      <c r="AY279" s="47" t="str">
        <f t="shared" si="1475"/>
        <v/>
      </c>
      <c r="AZ279" s="47" t="str">
        <f t="shared" si="1475"/>
        <v/>
      </c>
      <c r="BA279" s="47" t="str">
        <f t="shared" si="1475"/>
        <v/>
      </c>
      <c r="BB279" s="47" t="str">
        <f t="shared" si="1475"/>
        <v/>
      </c>
      <c r="BC279" s="47" t="str">
        <f t="shared" si="1475"/>
        <v/>
      </c>
      <c r="BD279" s="47" t="str">
        <f t="shared" si="1475"/>
        <v/>
      </c>
      <c r="BE279" s="47" t="str">
        <f t="shared" si="1475"/>
        <v/>
      </c>
      <c r="BF279" s="47" t="str">
        <f t="shared" si="1475"/>
        <v/>
      </c>
      <c r="BG279" s="47" t="str">
        <f t="shared" si="1475"/>
        <v/>
      </c>
      <c r="BH279" s="47" t="str">
        <f t="shared" si="1475"/>
        <v/>
      </c>
      <c r="BI279" s="65">
        <f t="shared" si="1463"/>
        <v>0</v>
      </c>
      <c r="BJ279" s="117"/>
      <c r="BK279" s="47"/>
      <c r="BL279" s="47"/>
      <c r="BM279" s="47"/>
      <c r="BN279" s="47"/>
      <c r="BO279" s="47"/>
      <c r="BP279" s="47"/>
      <c r="BQ279" s="47"/>
      <c r="BR279" s="47"/>
      <c r="BS279" s="47"/>
      <c r="BT279" s="47"/>
      <c r="BU279" s="47"/>
      <c r="BV279" s="47"/>
      <c r="BW279" s="129">
        <v>0.0</v>
      </c>
      <c r="BX279" s="1"/>
      <c r="BY279" s="47"/>
      <c r="BZ279" s="47"/>
      <c r="CA279" s="47"/>
      <c r="CB279" s="47"/>
      <c r="CC279" s="47"/>
      <c r="CD279" s="47"/>
      <c r="CE279" s="47"/>
      <c r="CF279" s="47"/>
      <c r="CG279" s="47"/>
      <c r="CH279" s="47"/>
      <c r="CI279" s="47"/>
      <c r="CJ279" s="47"/>
      <c r="CK279" s="65"/>
      <c r="CL279" s="47"/>
      <c r="CM279" s="47"/>
      <c r="CN279" s="47"/>
      <c r="CO279" s="47"/>
      <c r="CP279" s="47"/>
      <c r="CQ279" s="47"/>
      <c r="CR279" s="47"/>
      <c r="CS279" s="47"/>
      <c r="CT279" s="47"/>
      <c r="CU279" s="47"/>
      <c r="CV279" s="47"/>
      <c r="CW279" s="47"/>
      <c r="CX279" s="47"/>
      <c r="CY279" s="65"/>
      <c r="CZ279" s="11"/>
      <c r="DA279" s="47" t="str">
        <f t="shared" si="1464"/>
        <v/>
      </c>
      <c r="DB279" s="47"/>
      <c r="DC279" s="47"/>
      <c r="DD279" s="47"/>
      <c r="DE279" s="47"/>
      <c r="DF279" s="47"/>
      <c r="DG279" s="47"/>
      <c r="DH279" s="47"/>
      <c r="DI279" s="47"/>
      <c r="DJ279" s="47"/>
      <c r="DK279" s="47"/>
      <c r="DL279" s="47"/>
      <c r="DM279" s="65">
        <f t="shared" si="1465"/>
        <v>0</v>
      </c>
      <c r="DN279" s="1"/>
      <c r="DO279" s="130"/>
      <c r="DP279" s="130"/>
      <c r="DQ279" s="186"/>
    </row>
    <row r="280" outlineLevel="1">
      <c r="A280" s="51"/>
      <c r="B280" s="275" t="s">
        <v>250</v>
      </c>
      <c r="C280" s="15"/>
      <c r="D280" s="47">
        <f t="shared" si="1434"/>
        <v>0</v>
      </c>
      <c r="E280" s="47">
        <f t="shared" si="1435"/>
        <v>0</v>
      </c>
      <c r="F280" s="47">
        <f t="shared" si="1436"/>
        <v>0</v>
      </c>
      <c r="G280" s="47">
        <f t="shared" si="1437"/>
        <v>0</v>
      </c>
      <c r="H280" s="48"/>
      <c r="I280" s="66">
        <f t="shared" si="1438"/>
        <v>0</v>
      </c>
      <c r="J280" s="67">
        <f t="shared" si="1439"/>
        <v>0</v>
      </c>
      <c r="K280" s="66">
        <f t="shared" si="1440"/>
        <v>0</v>
      </c>
      <c r="L280" s="67">
        <f t="shared" si="1441"/>
        <v>0</v>
      </c>
      <c r="M280" s="66">
        <f t="shared" si="1442"/>
        <v>0</v>
      </c>
      <c r="N280" s="67">
        <f t="shared" si="1443"/>
        <v>0</v>
      </c>
      <c r="O280" s="48"/>
      <c r="P280" s="47">
        <f t="shared" si="1444"/>
        <v>0</v>
      </c>
      <c r="Q280" s="47">
        <f t="shared" si="1445"/>
        <v>0</v>
      </c>
      <c r="R280" s="47">
        <f t="shared" si="1446"/>
        <v>0</v>
      </c>
      <c r="S280" s="48"/>
      <c r="T280" s="66">
        <f t="shared" si="1447"/>
        <v>0</v>
      </c>
      <c r="U280" s="67">
        <f t="shared" si="1448"/>
        <v>0</v>
      </c>
      <c r="V280" s="66">
        <f t="shared" si="1449"/>
        <v>0</v>
      </c>
      <c r="W280" s="67">
        <f t="shared" si="1450"/>
        <v>0</v>
      </c>
      <c r="X280" s="48"/>
      <c r="Y280" s="47">
        <f t="shared" si="1451"/>
        <v>0</v>
      </c>
      <c r="Z280" s="47">
        <f t="shared" si="1452"/>
        <v>0</v>
      </c>
      <c r="AA280" s="47">
        <f t="shared" si="1453"/>
        <v>0</v>
      </c>
      <c r="AB280" s="47" t="str">
        <f t="shared" si="1454"/>
        <v/>
      </c>
      <c r="AC280" s="17"/>
      <c r="AD280" s="66">
        <f t="shared" si="1455"/>
        <v>0</v>
      </c>
      <c r="AE280" s="67">
        <f t="shared" si="1456"/>
        <v>0</v>
      </c>
      <c r="AF280" s="66">
        <f t="shared" si="1457"/>
        <v>0</v>
      </c>
      <c r="AG280" s="67">
        <f t="shared" si="1458"/>
        <v>0</v>
      </c>
      <c r="AH280" s="117"/>
      <c r="AI280" s="47" t="str">
        <f t="shared" si="1459"/>
        <v/>
      </c>
      <c r="AJ280" s="47" t="str">
        <f t="shared" ref="AJ280:AT280" si="1476">IFERROR(IF(AJ$3="A",CN280,IF(AJ$3="F",DB280,IF(AJ$3="B",BL280,0))),"")</f>
        <v/>
      </c>
      <c r="AK280" s="47" t="str">
        <f t="shared" si="1476"/>
        <v/>
      </c>
      <c r="AL280" s="47" t="str">
        <f t="shared" si="1476"/>
        <v/>
      </c>
      <c r="AM280" s="47" t="str">
        <f t="shared" si="1476"/>
        <v/>
      </c>
      <c r="AN280" s="47" t="str">
        <f t="shared" si="1476"/>
        <v/>
      </c>
      <c r="AO280" s="47" t="str">
        <f t="shared" si="1476"/>
        <v/>
      </c>
      <c r="AP280" s="47" t="str">
        <f t="shared" si="1476"/>
        <v/>
      </c>
      <c r="AQ280" s="47" t="str">
        <f t="shared" si="1476"/>
        <v/>
      </c>
      <c r="AR280" s="47" t="str">
        <f t="shared" si="1476"/>
        <v/>
      </c>
      <c r="AS280" s="47" t="str">
        <f t="shared" si="1476"/>
        <v/>
      </c>
      <c r="AT280" s="47" t="str">
        <f t="shared" si="1476"/>
        <v/>
      </c>
      <c r="AU280" s="65">
        <f t="shared" si="1461"/>
        <v>0</v>
      </c>
      <c r="AV280" s="11"/>
      <c r="AW280" s="47" t="str">
        <f t="shared" ref="AW280:BH280" si="1477">IFERROR(IF(AW$3="A",CM280,IF(AW$3="B",BK280)),0)</f>
        <v/>
      </c>
      <c r="AX280" s="47" t="str">
        <f t="shared" si="1477"/>
        <v/>
      </c>
      <c r="AY280" s="47" t="str">
        <f t="shared" si="1477"/>
        <v/>
      </c>
      <c r="AZ280" s="47" t="str">
        <f t="shared" si="1477"/>
        <v/>
      </c>
      <c r="BA280" s="47" t="str">
        <f t="shared" si="1477"/>
        <v/>
      </c>
      <c r="BB280" s="47" t="str">
        <f t="shared" si="1477"/>
        <v/>
      </c>
      <c r="BC280" s="47" t="str">
        <f t="shared" si="1477"/>
        <v/>
      </c>
      <c r="BD280" s="47" t="str">
        <f t="shared" si="1477"/>
        <v/>
      </c>
      <c r="BE280" s="47" t="str">
        <f t="shared" si="1477"/>
        <v/>
      </c>
      <c r="BF280" s="47" t="str">
        <f t="shared" si="1477"/>
        <v/>
      </c>
      <c r="BG280" s="47" t="str">
        <f t="shared" si="1477"/>
        <v/>
      </c>
      <c r="BH280" s="47" t="str">
        <f t="shared" si="1477"/>
        <v/>
      </c>
      <c r="BI280" s="65">
        <f t="shared" si="1463"/>
        <v>0</v>
      </c>
      <c r="BJ280" s="117"/>
      <c r="BK280" s="47"/>
      <c r="BL280" s="47"/>
      <c r="BM280" s="47"/>
      <c r="BN280" s="47"/>
      <c r="BO280" s="47"/>
      <c r="BP280" s="47"/>
      <c r="BQ280" s="47"/>
      <c r="BR280" s="47"/>
      <c r="BS280" s="47"/>
      <c r="BT280" s="47"/>
      <c r="BU280" s="47"/>
      <c r="BV280" s="47"/>
      <c r="BW280" s="129">
        <v>0.0</v>
      </c>
      <c r="BX280" s="1"/>
      <c r="BY280" s="47"/>
      <c r="BZ280" s="47"/>
      <c r="CA280" s="47"/>
      <c r="CB280" s="47"/>
      <c r="CC280" s="47"/>
      <c r="CD280" s="47"/>
      <c r="CE280" s="47"/>
      <c r="CF280" s="47"/>
      <c r="CG280" s="47"/>
      <c r="CH280" s="47"/>
      <c r="CI280" s="47"/>
      <c r="CJ280" s="47"/>
      <c r="CK280" s="65"/>
      <c r="CL280" s="47"/>
      <c r="CM280" s="47"/>
      <c r="CN280" s="47"/>
      <c r="CO280" s="47"/>
      <c r="CP280" s="47"/>
      <c r="CQ280" s="47"/>
      <c r="CR280" s="47"/>
      <c r="CS280" s="47"/>
      <c r="CT280" s="47"/>
      <c r="CU280" s="47"/>
      <c r="CV280" s="47"/>
      <c r="CW280" s="47"/>
      <c r="CX280" s="47"/>
      <c r="CY280" s="65"/>
      <c r="CZ280" s="11"/>
      <c r="DA280" s="47" t="str">
        <f t="shared" si="1464"/>
        <v/>
      </c>
      <c r="DB280" s="47"/>
      <c r="DC280" s="47"/>
      <c r="DD280" s="47"/>
      <c r="DE280" s="47"/>
      <c r="DF280" s="47"/>
      <c r="DG280" s="47"/>
      <c r="DH280" s="47"/>
      <c r="DI280" s="47"/>
      <c r="DJ280" s="47"/>
      <c r="DK280" s="47"/>
      <c r="DL280" s="47"/>
      <c r="DM280" s="65">
        <f t="shared" si="1465"/>
        <v>0</v>
      </c>
      <c r="DN280" s="1"/>
      <c r="DO280" s="132"/>
      <c r="DP280" s="132"/>
      <c r="DQ280" s="131"/>
    </row>
    <row r="281" outlineLevel="1">
      <c r="A281" s="15"/>
      <c r="B281" s="275" t="s">
        <v>251</v>
      </c>
      <c r="C281" s="15"/>
      <c r="D281" s="47">
        <f t="shared" si="1434"/>
        <v>0</v>
      </c>
      <c r="E281" s="47">
        <f t="shared" si="1435"/>
        <v>0</v>
      </c>
      <c r="F281" s="47">
        <f t="shared" si="1436"/>
        <v>0</v>
      </c>
      <c r="G281" s="47">
        <f t="shared" si="1437"/>
        <v>0</v>
      </c>
      <c r="H281" s="48"/>
      <c r="I281" s="66">
        <f t="shared" si="1438"/>
        <v>0</v>
      </c>
      <c r="J281" s="67">
        <f t="shared" si="1439"/>
        <v>0</v>
      </c>
      <c r="K281" s="66">
        <f t="shared" si="1440"/>
        <v>0</v>
      </c>
      <c r="L281" s="67">
        <f t="shared" si="1441"/>
        <v>0</v>
      </c>
      <c r="M281" s="66">
        <f t="shared" si="1442"/>
        <v>0</v>
      </c>
      <c r="N281" s="67">
        <f t="shared" si="1443"/>
        <v>0</v>
      </c>
      <c r="O281" s="48"/>
      <c r="P281" s="47">
        <f t="shared" si="1444"/>
        <v>0</v>
      </c>
      <c r="Q281" s="47">
        <f t="shared" si="1445"/>
        <v>0</v>
      </c>
      <c r="R281" s="47">
        <f t="shared" si="1446"/>
        <v>0</v>
      </c>
      <c r="S281" s="48"/>
      <c r="T281" s="66">
        <f t="shared" si="1447"/>
        <v>0</v>
      </c>
      <c r="U281" s="67">
        <f t="shared" si="1448"/>
        <v>0</v>
      </c>
      <c r="V281" s="66">
        <f t="shared" si="1449"/>
        <v>0</v>
      </c>
      <c r="W281" s="67">
        <f t="shared" si="1450"/>
        <v>0</v>
      </c>
      <c r="X281" s="48"/>
      <c r="Y281" s="47">
        <f t="shared" si="1451"/>
        <v>0</v>
      </c>
      <c r="Z281" s="47">
        <f t="shared" si="1452"/>
        <v>0</v>
      </c>
      <c r="AA281" s="47">
        <f t="shared" si="1453"/>
        <v>0</v>
      </c>
      <c r="AB281" s="47" t="str">
        <f t="shared" si="1454"/>
        <v/>
      </c>
      <c r="AC281" s="17"/>
      <c r="AD281" s="66">
        <f t="shared" si="1455"/>
        <v>0</v>
      </c>
      <c r="AE281" s="67">
        <f t="shared" si="1456"/>
        <v>0</v>
      </c>
      <c r="AF281" s="66">
        <f t="shared" si="1457"/>
        <v>0</v>
      </c>
      <c r="AG281" s="67">
        <f t="shared" si="1458"/>
        <v>0</v>
      </c>
      <c r="AH281" s="117"/>
      <c r="AI281" s="47" t="str">
        <f t="shared" si="1459"/>
        <v/>
      </c>
      <c r="AJ281" s="47" t="str">
        <f t="shared" ref="AJ281:AT281" si="1478">IFERROR(IF(AJ$3="A",CN281,IF(AJ$3="F",DB281,IF(AJ$3="B",BL281,0))),"")</f>
        <v/>
      </c>
      <c r="AK281" s="47" t="str">
        <f t="shared" si="1478"/>
        <v/>
      </c>
      <c r="AL281" s="47" t="str">
        <f t="shared" si="1478"/>
        <v/>
      </c>
      <c r="AM281" s="47" t="str">
        <f t="shared" si="1478"/>
        <v/>
      </c>
      <c r="AN281" s="47" t="str">
        <f t="shared" si="1478"/>
        <v/>
      </c>
      <c r="AO281" s="47" t="str">
        <f t="shared" si="1478"/>
        <v/>
      </c>
      <c r="AP281" s="47" t="str">
        <f t="shared" si="1478"/>
        <v/>
      </c>
      <c r="AQ281" s="47" t="str">
        <f t="shared" si="1478"/>
        <v/>
      </c>
      <c r="AR281" s="47" t="str">
        <f t="shared" si="1478"/>
        <v/>
      </c>
      <c r="AS281" s="47" t="str">
        <f t="shared" si="1478"/>
        <v/>
      </c>
      <c r="AT281" s="47" t="str">
        <f t="shared" si="1478"/>
        <v/>
      </c>
      <c r="AU281" s="65">
        <f t="shared" si="1461"/>
        <v>0</v>
      </c>
      <c r="AV281" s="11"/>
      <c r="AW281" s="47" t="str">
        <f t="shared" ref="AW281:BH281" si="1479">IFERROR(IF(AW$3="A",CM281,IF(AW$3="B",BK281)),0)</f>
        <v/>
      </c>
      <c r="AX281" s="47" t="str">
        <f t="shared" si="1479"/>
        <v/>
      </c>
      <c r="AY281" s="47" t="str">
        <f t="shared" si="1479"/>
        <v/>
      </c>
      <c r="AZ281" s="47" t="str">
        <f t="shared" si="1479"/>
        <v/>
      </c>
      <c r="BA281" s="47" t="str">
        <f t="shared" si="1479"/>
        <v/>
      </c>
      <c r="BB281" s="47" t="str">
        <f t="shared" si="1479"/>
        <v/>
      </c>
      <c r="BC281" s="47" t="str">
        <f t="shared" si="1479"/>
        <v/>
      </c>
      <c r="BD281" s="47" t="str">
        <f t="shared" si="1479"/>
        <v/>
      </c>
      <c r="BE281" s="47" t="str">
        <f t="shared" si="1479"/>
        <v/>
      </c>
      <c r="BF281" s="47" t="str">
        <f t="shared" si="1479"/>
        <v/>
      </c>
      <c r="BG281" s="47" t="str">
        <f t="shared" si="1479"/>
        <v/>
      </c>
      <c r="BH281" s="47" t="str">
        <f t="shared" si="1479"/>
        <v/>
      </c>
      <c r="BI281" s="65">
        <f t="shared" si="1463"/>
        <v>0</v>
      </c>
      <c r="BJ281" s="117"/>
      <c r="BK281" s="47"/>
      <c r="BL281" s="47"/>
      <c r="BM281" s="47"/>
      <c r="BN281" s="47"/>
      <c r="BO281" s="47"/>
      <c r="BP281" s="47"/>
      <c r="BQ281" s="47"/>
      <c r="BR281" s="47"/>
      <c r="BS281" s="47"/>
      <c r="BT281" s="47"/>
      <c r="BU281" s="47"/>
      <c r="BV281" s="47"/>
      <c r="BW281" s="129">
        <v>0.0</v>
      </c>
      <c r="BX281" s="1"/>
      <c r="BY281" s="47"/>
      <c r="BZ281" s="47"/>
      <c r="CA281" s="47"/>
      <c r="CB281" s="47"/>
      <c r="CC281" s="47"/>
      <c r="CD281" s="47"/>
      <c r="CE281" s="47"/>
      <c r="CF281" s="47"/>
      <c r="CG281" s="47"/>
      <c r="CH281" s="47"/>
      <c r="CI281" s="47"/>
      <c r="CJ281" s="47"/>
      <c r="CK281" s="65"/>
      <c r="CL281" s="47"/>
      <c r="CM281" s="47"/>
      <c r="CN281" s="47"/>
      <c r="CO281" s="47"/>
      <c r="CP281" s="47"/>
      <c r="CQ281" s="47"/>
      <c r="CR281" s="47"/>
      <c r="CS281" s="47"/>
      <c r="CT281" s="47"/>
      <c r="CU281" s="47"/>
      <c r="CV281" s="47"/>
      <c r="CW281" s="47"/>
      <c r="CX281" s="47"/>
      <c r="CY281" s="65"/>
      <c r="CZ281" s="11"/>
      <c r="DA281" s="47" t="str">
        <f t="shared" si="1464"/>
        <v/>
      </c>
      <c r="DB281" s="47"/>
      <c r="DC281" s="47"/>
      <c r="DD281" s="47"/>
      <c r="DE281" s="47"/>
      <c r="DF281" s="47"/>
      <c r="DG281" s="47"/>
      <c r="DH281" s="47"/>
      <c r="DI281" s="47"/>
      <c r="DJ281" s="47"/>
      <c r="DK281" s="47"/>
      <c r="DL281" s="47"/>
      <c r="DM281" s="65">
        <f t="shared" si="1465"/>
        <v>0</v>
      </c>
      <c r="DN281" s="1"/>
      <c r="DO281" s="130"/>
      <c r="DP281" s="130"/>
      <c r="DQ281" s="131"/>
    </row>
    <row r="282" outlineLevel="1">
      <c r="A282" s="15"/>
      <c r="B282" s="275" t="s">
        <v>41</v>
      </c>
      <c r="C282" s="15"/>
      <c r="D282" s="47">
        <f t="shared" si="1434"/>
        <v>0</v>
      </c>
      <c r="E282" s="47">
        <f t="shared" si="1435"/>
        <v>0</v>
      </c>
      <c r="F282" s="47">
        <f t="shared" si="1436"/>
        <v>0</v>
      </c>
      <c r="G282" s="47">
        <f t="shared" si="1437"/>
        <v>0</v>
      </c>
      <c r="H282" s="48"/>
      <c r="I282" s="66">
        <f t="shared" si="1438"/>
        <v>0</v>
      </c>
      <c r="J282" s="67">
        <f t="shared" si="1439"/>
        <v>0</v>
      </c>
      <c r="K282" s="66">
        <f t="shared" si="1440"/>
        <v>0</v>
      </c>
      <c r="L282" s="67">
        <f t="shared" si="1441"/>
        <v>0</v>
      </c>
      <c r="M282" s="66">
        <f t="shared" si="1442"/>
        <v>0</v>
      </c>
      <c r="N282" s="67">
        <f t="shared" si="1443"/>
        <v>0</v>
      </c>
      <c r="O282" s="48"/>
      <c r="P282" s="47">
        <f t="shared" si="1444"/>
        <v>0</v>
      </c>
      <c r="Q282" s="47">
        <f t="shared" si="1445"/>
        <v>0</v>
      </c>
      <c r="R282" s="47">
        <f t="shared" si="1446"/>
        <v>0</v>
      </c>
      <c r="S282" s="48"/>
      <c r="T282" s="66">
        <f t="shared" si="1447"/>
        <v>0</v>
      </c>
      <c r="U282" s="67">
        <f t="shared" si="1448"/>
        <v>0</v>
      </c>
      <c r="V282" s="66">
        <f t="shared" si="1449"/>
        <v>0</v>
      </c>
      <c r="W282" s="67">
        <f t="shared" si="1450"/>
        <v>0</v>
      </c>
      <c r="X282" s="48"/>
      <c r="Y282" s="47">
        <f t="shared" si="1451"/>
        <v>0</v>
      </c>
      <c r="Z282" s="47">
        <f t="shared" si="1452"/>
        <v>0</v>
      </c>
      <c r="AA282" s="47">
        <f t="shared" si="1453"/>
        <v>0</v>
      </c>
      <c r="AB282" s="47" t="str">
        <f t="shared" si="1454"/>
        <v/>
      </c>
      <c r="AC282" s="17"/>
      <c r="AD282" s="66">
        <f t="shared" si="1455"/>
        <v>0</v>
      </c>
      <c r="AE282" s="67">
        <f t="shared" si="1456"/>
        <v>0</v>
      </c>
      <c r="AF282" s="66">
        <f t="shared" si="1457"/>
        <v>0</v>
      </c>
      <c r="AG282" s="67">
        <f t="shared" si="1458"/>
        <v>0</v>
      </c>
      <c r="AH282" s="117"/>
      <c r="AI282" s="47" t="str">
        <f t="shared" si="1459"/>
        <v/>
      </c>
      <c r="AJ282" s="47" t="str">
        <f t="shared" ref="AJ282:AT282" si="1480">IFERROR(IF(AJ$3="A",CN282,IF(AJ$3="F",DB282,IF(AJ$3="B",BL282,0))),"")</f>
        <v/>
      </c>
      <c r="AK282" s="47" t="str">
        <f t="shared" si="1480"/>
        <v/>
      </c>
      <c r="AL282" s="47" t="str">
        <f t="shared" si="1480"/>
        <v/>
      </c>
      <c r="AM282" s="47" t="str">
        <f t="shared" si="1480"/>
        <v/>
      </c>
      <c r="AN282" s="47" t="str">
        <f t="shared" si="1480"/>
        <v/>
      </c>
      <c r="AO282" s="47" t="str">
        <f t="shared" si="1480"/>
        <v/>
      </c>
      <c r="AP282" s="47" t="str">
        <f t="shared" si="1480"/>
        <v/>
      </c>
      <c r="AQ282" s="47" t="str">
        <f t="shared" si="1480"/>
        <v/>
      </c>
      <c r="AR282" s="47" t="str">
        <f t="shared" si="1480"/>
        <v/>
      </c>
      <c r="AS282" s="47" t="str">
        <f t="shared" si="1480"/>
        <v/>
      </c>
      <c r="AT282" s="47" t="str">
        <f t="shared" si="1480"/>
        <v/>
      </c>
      <c r="AU282" s="65">
        <f t="shared" si="1461"/>
        <v>0</v>
      </c>
      <c r="AV282" s="11"/>
      <c r="AW282" s="47" t="str">
        <f t="shared" ref="AW282:BH282" si="1481">IFERROR(IF(AW$3="A",CM282,IF(AW$3="B",BK282)),0)</f>
        <v/>
      </c>
      <c r="AX282" s="47" t="str">
        <f t="shared" si="1481"/>
        <v/>
      </c>
      <c r="AY282" s="47" t="str">
        <f t="shared" si="1481"/>
        <v/>
      </c>
      <c r="AZ282" s="47" t="str">
        <f t="shared" si="1481"/>
        <v/>
      </c>
      <c r="BA282" s="47" t="str">
        <f t="shared" si="1481"/>
        <v/>
      </c>
      <c r="BB282" s="47" t="str">
        <f t="shared" si="1481"/>
        <v/>
      </c>
      <c r="BC282" s="47" t="str">
        <f t="shared" si="1481"/>
        <v/>
      </c>
      <c r="BD282" s="47" t="str">
        <f t="shared" si="1481"/>
        <v/>
      </c>
      <c r="BE282" s="47" t="str">
        <f t="shared" si="1481"/>
        <v/>
      </c>
      <c r="BF282" s="47" t="str">
        <f t="shared" si="1481"/>
        <v/>
      </c>
      <c r="BG282" s="47" t="str">
        <f t="shared" si="1481"/>
        <v/>
      </c>
      <c r="BH282" s="47" t="str">
        <f t="shared" si="1481"/>
        <v/>
      </c>
      <c r="BI282" s="65">
        <f t="shared" si="1463"/>
        <v>0</v>
      </c>
      <c r="BJ282" s="117"/>
      <c r="BK282" s="47"/>
      <c r="BL282" s="47"/>
      <c r="BM282" s="47"/>
      <c r="BN282" s="47"/>
      <c r="BO282" s="47"/>
      <c r="BP282" s="47"/>
      <c r="BQ282" s="47"/>
      <c r="BR282" s="47"/>
      <c r="BS282" s="47"/>
      <c r="BT282" s="47"/>
      <c r="BU282" s="47"/>
      <c r="BV282" s="47"/>
      <c r="BW282" s="129">
        <v>0.0</v>
      </c>
      <c r="BX282" s="1"/>
      <c r="BY282" s="47"/>
      <c r="BZ282" s="47"/>
      <c r="CA282" s="47"/>
      <c r="CB282" s="47"/>
      <c r="CC282" s="47"/>
      <c r="CD282" s="47"/>
      <c r="CE282" s="47"/>
      <c r="CF282" s="47"/>
      <c r="CG282" s="47"/>
      <c r="CH282" s="47"/>
      <c r="CI282" s="47"/>
      <c r="CJ282" s="47"/>
      <c r="CK282" s="65"/>
      <c r="CL282" s="47"/>
      <c r="CM282" s="47"/>
      <c r="CN282" s="47"/>
      <c r="CO282" s="47"/>
      <c r="CP282" s="47"/>
      <c r="CQ282" s="47"/>
      <c r="CR282" s="47"/>
      <c r="CS282" s="47"/>
      <c r="CT282" s="47"/>
      <c r="CU282" s="47"/>
      <c r="CV282" s="47"/>
      <c r="CW282" s="47"/>
      <c r="CX282" s="47"/>
      <c r="CY282" s="65"/>
      <c r="CZ282" s="11"/>
      <c r="DA282" s="47" t="str">
        <f t="shared" si="1464"/>
        <v/>
      </c>
      <c r="DB282" s="47"/>
      <c r="DC282" s="47"/>
      <c r="DD282" s="47"/>
      <c r="DE282" s="47"/>
      <c r="DF282" s="47"/>
      <c r="DG282" s="47"/>
      <c r="DH282" s="47"/>
      <c r="DI282" s="47"/>
      <c r="DJ282" s="47"/>
      <c r="DK282" s="47"/>
      <c r="DL282" s="47"/>
      <c r="DM282" s="65">
        <f t="shared" si="1465"/>
        <v>0</v>
      </c>
      <c r="DN282" s="1"/>
      <c r="DO282" s="132"/>
      <c r="DP282" s="132"/>
      <c r="DQ282" s="131"/>
    </row>
    <row r="283">
      <c r="A283" s="51"/>
      <c r="B283" s="107" t="s">
        <v>252</v>
      </c>
      <c r="C283" s="156"/>
      <c r="D283" s="157">
        <f t="shared" ref="D283:G283" si="1482">D271-SUM(D273:D282)</f>
        <v>0</v>
      </c>
      <c r="E283" s="157">
        <f t="shared" si="1482"/>
        <v>0</v>
      </c>
      <c r="F283" s="157">
        <f t="shared" si="1482"/>
        <v>122825.2035</v>
      </c>
      <c r="G283" s="157">
        <f t="shared" si="1482"/>
        <v>0</v>
      </c>
      <c r="H283" s="48"/>
      <c r="I283" s="75">
        <f>D283-E283</f>
        <v>0</v>
      </c>
      <c r="J283" s="60">
        <f>IFERROR(I283/(E283),0)</f>
        <v>0</v>
      </c>
      <c r="K283" s="75">
        <f>D283-F283</f>
        <v>-122825.2035</v>
      </c>
      <c r="L283" s="60">
        <f>IFERROR(K283/(F283),0)</f>
        <v>-1</v>
      </c>
      <c r="M283" s="75">
        <f>D283-G283</f>
        <v>0</v>
      </c>
      <c r="N283" s="60">
        <f>IFERROR(M283/G283,0)</f>
        <v>0</v>
      </c>
      <c r="O283" s="48"/>
      <c r="P283" s="157">
        <f t="shared" ref="P283:R283" si="1483">P271-SUM(P273:P282)</f>
        <v>0</v>
      </c>
      <c r="Q283" s="157">
        <f t="shared" si="1483"/>
        <v>376617.183</v>
      </c>
      <c r="R283" s="157">
        <f t="shared" si="1483"/>
        <v>0</v>
      </c>
      <c r="S283" s="48"/>
      <c r="T283" s="75">
        <f>P283-Q283</f>
        <v>-376617.183</v>
      </c>
      <c r="U283" s="251">
        <f>IFERROR(T283/Q283,0)</f>
        <v>-1</v>
      </c>
      <c r="V283" s="75">
        <f>P283-R283</f>
        <v>0</v>
      </c>
      <c r="W283" s="251">
        <f>IFERROR(V283/R283,0)</f>
        <v>0</v>
      </c>
      <c r="X283" s="48"/>
      <c r="Y283" s="157">
        <f t="shared" ref="Y283:AB283" si="1484">Y271-SUM(Y273:Y282)</f>
        <v>459415.2663</v>
      </c>
      <c r="Z283" s="157">
        <f t="shared" si="1484"/>
        <v>1499105.547</v>
      </c>
      <c r="AA283" s="157">
        <f t="shared" si="1484"/>
        <v>1875722.731</v>
      </c>
      <c r="AB283" s="157">
        <f t="shared" si="1484"/>
        <v>0</v>
      </c>
      <c r="AC283" s="48"/>
      <c r="AD283" s="75">
        <f>Y283-AA283</f>
        <v>-1416307.464</v>
      </c>
      <c r="AE283" s="60">
        <f>IFERROR(AD283/AA283,0)</f>
        <v>-0.7550729333</v>
      </c>
      <c r="AF283" s="75">
        <f>Y283-AB283</f>
        <v>459415.2663</v>
      </c>
      <c r="AG283" s="60">
        <f>IFERROR(AF283/AB283,0)</f>
        <v>0</v>
      </c>
      <c r="AH283" s="56"/>
      <c r="AI283" s="157">
        <f t="shared" ref="AI283:AU283" si="1485">AI271-SUM(AI273:AI282)</f>
        <v>0</v>
      </c>
      <c r="AJ283" s="157">
        <f t="shared" si="1485"/>
        <v>0</v>
      </c>
      <c r="AK283" s="157">
        <f t="shared" si="1485"/>
        <v>0</v>
      </c>
      <c r="AL283" s="157">
        <f t="shared" si="1485"/>
        <v>0</v>
      </c>
      <c r="AM283" s="157">
        <f t="shared" si="1485"/>
        <v>0</v>
      </c>
      <c r="AN283" s="157">
        <f t="shared" si="1485"/>
        <v>0</v>
      </c>
      <c r="AO283" s="157">
        <f t="shared" si="1485"/>
        <v>0</v>
      </c>
      <c r="AP283" s="157">
        <f t="shared" si="1485"/>
        <v>0</v>
      </c>
      <c r="AQ283" s="157">
        <f t="shared" si="1485"/>
        <v>0</v>
      </c>
      <c r="AR283" s="157">
        <f t="shared" si="1485"/>
        <v>307563.3399</v>
      </c>
      <c r="AS283" s="157">
        <f t="shared" si="1485"/>
        <v>67929.846</v>
      </c>
      <c r="AT283" s="157">
        <f t="shared" si="1485"/>
        <v>83922.0804</v>
      </c>
      <c r="AU283" s="157">
        <f t="shared" si="1485"/>
        <v>459415.2663</v>
      </c>
      <c r="AV283" s="55"/>
      <c r="AW283" s="157">
        <f t="shared" ref="AW283:BI283" si="1486">AW271-SUM(AW273:AW282)</f>
        <v>0</v>
      </c>
      <c r="AX283" s="157">
        <f t="shared" si="1486"/>
        <v>0</v>
      </c>
      <c r="AY283" s="157">
        <f t="shared" si="1486"/>
        <v>0</v>
      </c>
      <c r="AZ283" s="157">
        <f t="shared" si="1486"/>
        <v>0</v>
      </c>
      <c r="BA283" s="157">
        <f t="shared" si="1486"/>
        <v>0</v>
      </c>
      <c r="BB283" s="157">
        <f t="shared" si="1486"/>
        <v>0</v>
      </c>
      <c r="BC283" s="157">
        <f t="shared" si="1486"/>
        <v>370735.3036</v>
      </c>
      <c r="BD283" s="157">
        <f t="shared" si="1486"/>
        <v>364255.2806</v>
      </c>
      <c r="BE283" s="157">
        <f t="shared" si="1486"/>
        <v>304699.6968</v>
      </c>
      <c r="BF283" s="157">
        <f t="shared" si="1486"/>
        <v>307563.3399</v>
      </c>
      <c r="BG283" s="157">
        <f t="shared" si="1486"/>
        <v>67929.846</v>
      </c>
      <c r="BH283" s="157">
        <f t="shared" si="1486"/>
        <v>83922.0804</v>
      </c>
      <c r="BI283" s="157">
        <f t="shared" si="1486"/>
        <v>1499105.547</v>
      </c>
      <c r="BJ283" s="56"/>
      <c r="BK283" s="158">
        <v>125897.4313</v>
      </c>
      <c r="BL283" s="158">
        <v>116014.7713</v>
      </c>
      <c r="BM283" s="158">
        <v>27022.001</v>
      </c>
      <c r="BN283" s="158">
        <v>-19938.647</v>
      </c>
      <c r="BO283" s="158">
        <v>4796.423</v>
      </c>
      <c r="BP283" s="158">
        <v>122825.2038</v>
      </c>
      <c r="BQ283" s="158">
        <v>370735.3036</v>
      </c>
      <c r="BR283" s="158">
        <v>364255.2806</v>
      </c>
      <c r="BS283" s="158">
        <v>304699.6968</v>
      </c>
      <c r="BT283" s="158">
        <v>307563.3398</v>
      </c>
      <c r="BU283" s="158">
        <v>67929.846</v>
      </c>
      <c r="BV283" s="158">
        <v>83922.0805</v>
      </c>
      <c r="BW283" s="158">
        <v>1875722.7307</v>
      </c>
      <c r="BX283" s="1"/>
      <c r="BY283" s="157"/>
      <c r="BZ283" s="157"/>
      <c r="CA283" s="157"/>
      <c r="CB283" s="157"/>
      <c r="CC283" s="157"/>
      <c r="CD283" s="157"/>
      <c r="CE283" s="157"/>
      <c r="CF283" s="157"/>
      <c r="CG283" s="157"/>
      <c r="CH283" s="157"/>
      <c r="CI283" s="157"/>
      <c r="CJ283" s="157"/>
      <c r="CK283" s="157"/>
      <c r="CL283" s="159"/>
      <c r="CM283" s="157"/>
      <c r="CN283" s="157"/>
      <c r="CO283" s="157"/>
      <c r="CP283" s="157"/>
      <c r="CQ283" s="157"/>
      <c r="CR283" s="157"/>
      <c r="CS283" s="157"/>
      <c r="CT283" s="157"/>
      <c r="CU283" s="157"/>
      <c r="CV283" s="157"/>
      <c r="CW283" s="157"/>
      <c r="CX283" s="157"/>
      <c r="CY283" s="157"/>
      <c r="CZ283" s="11"/>
      <c r="DA283" s="157">
        <f>DA271-SUM(DA273:DA282)</f>
        <v>125897.4313</v>
      </c>
      <c r="DB283" s="157"/>
      <c r="DC283" s="157"/>
      <c r="DD283" s="157"/>
      <c r="DE283" s="157"/>
      <c r="DF283" s="157"/>
      <c r="DG283" s="157"/>
      <c r="DH283" s="157"/>
      <c r="DI283" s="157"/>
      <c r="DJ283" s="157"/>
      <c r="DK283" s="157"/>
      <c r="DL283" s="157"/>
      <c r="DM283" s="157">
        <f>DM271-SUM(DM273:DM282)</f>
        <v>125897.4313</v>
      </c>
      <c r="DN283" s="1"/>
      <c r="DO283" s="160"/>
      <c r="DP283" s="160"/>
      <c r="DQ283" s="186"/>
    </row>
    <row r="284">
      <c r="A284" s="1"/>
      <c r="B284" s="1"/>
      <c r="C284" s="2"/>
      <c r="D284" s="2"/>
      <c r="E284" s="2"/>
      <c r="F284" s="2"/>
      <c r="G284" s="2"/>
      <c r="H284" s="6"/>
      <c r="I284" s="116"/>
      <c r="J284" s="116"/>
      <c r="K284" s="116"/>
      <c r="L284" s="116"/>
      <c r="M284" s="116"/>
      <c r="N284" s="116"/>
      <c r="O284" s="2"/>
      <c r="P284" s="2"/>
      <c r="Q284" s="2"/>
      <c r="R284" s="2"/>
      <c r="S284" s="2"/>
      <c r="T284" s="86"/>
      <c r="U284" s="86"/>
      <c r="V284" s="86"/>
      <c r="W284" s="86"/>
      <c r="X284" s="2"/>
      <c r="Y284" s="2"/>
      <c r="Z284" s="2"/>
      <c r="AA284" s="2"/>
      <c r="AB284" s="2"/>
      <c r="AC284" s="276"/>
      <c r="AD284" s="116"/>
      <c r="AE284" s="116"/>
      <c r="AF284" s="116"/>
      <c r="AG284" s="116"/>
      <c r="AH284" s="117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7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7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"/>
      <c r="DA284" s="17"/>
      <c r="DB284" s="17"/>
      <c r="DC284" s="17"/>
      <c r="DD284" s="17"/>
      <c r="DE284" s="17"/>
      <c r="DF284" s="17"/>
      <c r="DG284" s="17"/>
      <c r="DH284" s="17"/>
      <c r="DI284" s="17"/>
      <c r="DJ284" s="17"/>
      <c r="DK284" s="17"/>
      <c r="DL284" s="17"/>
      <c r="DM284" s="17"/>
      <c r="DN284" s="1"/>
      <c r="DO284" s="1"/>
      <c r="DP284" s="1"/>
      <c r="DQ284" s="131"/>
    </row>
    <row r="285">
      <c r="A285" s="1"/>
      <c r="B285" s="1"/>
      <c r="C285" s="2"/>
      <c r="D285" s="2"/>
      <c r="E285" s="2"/>
      <c r="F285" s="2"/>
      <c r="G285" s="2"/>
      <c r="H285" s="6"/>
      <c r="I285" s="116"/>
      <c r="J285" s="116"/>
      <c r="K285" s="116"/>
      <c r="L285" s="116"/>
      <c r="M285" s="116"/>
      <c r="N285" s="116"/>
      <c r="O285" s="2"/>
      <c r="P285" s="2"/>
      <c r="Q285" s="2"/>
      <c r="R285" s="2"/>
      <c r="S285" s="2"/>
      <c r="T285" s="86"/>
      <c r="U285" s="86"/>
      <c r="V285" s="86"/>
      <c r="W285" s="86"/>
      <c r="X285" s="2"/>
      <c r="Y285" s="2"/>
      <c r="Z285" s="2"/>
      <c r="AA285" s="2"/>
      <c r="AB285" s="2"/>
      <c r="AC285" s="276"/>
      <c r="AD285" s="116"/>
      <c r="AE285" s="116"/>
      <c r="AF285" s="116"/>
      <c r="AG285" s="116"/>
      <c r="AH285" s="117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7"/>
      <c r="AW285" s="11"/>
      <c r="AX285" s="11"/>
      <c r="AY285" s="11"/>
      <c r="AZ285" s="11"/>
      <c r="BA285" s="11"/>
      <c r="BB285" s="11"/>
      <c r="BC285" s="11"/>
      <c r="BD285" s="11"/>
      <c r="BE285" s="11"/>
      <c r="BF285" s="11"/>
      <c r="BG285" s="11"/>
      <c r="BH285" s="11"/>
      <c r="BI285" s="11"/>
      <c r="BJ285" s="117"/>
      <c r="BK285" s="11"/>
      <c r="BL285" s="11"/>
      <c r="BM285" s="11"/>
      <c r="BN285" s="11"/>
      <c r="BO285" s="11"/>
      <c r="BP285" s="11"/>
      <c r="BQ285" s="11"/>
      <c r="BR285" s="11"/>
      <c r="BS285" s="11"/>
      <c r="BT285" s="11"/>
      <c r="BU285" s="11"/>
      <c r="BV285" s="11"/>
      <c r="BW285" s="11"/>
      <c r="BX285" s="1"/>
      <c r="BY285" s="11"/>
      <c r="BZ285" s="11"/>
      <c r="CA285" s="11"/>
      <c r="CB285" s="11"/>
      <c r="CC285" s="11"/>
      <c r="CD285" s="11"/>
      <c r="CE285" s="11"/>
      <c r="CF285" s="11"/>
      <c r="CG285" s="11"/>
      <c r="CH285" s="11"/>
      <c r="CI285" s="11"/>
      <c r="CJ285" s="11"/>
      <c r="CK285" s="11"/>
      <c r="CL285" s="11"/>
      <c r="CM285" s="11"/>
      <c r="CN285" s="11"/>
      <c r="CO285" s="11"/>
      <c r="CP285" s="11"/>
      <c r="CQ285" s="11"/>
      <c r="CR285" s="11"/>
      <c r="CS285" s="11"/>
      <c r="CT285" s="11"/>
      <c r="CU285" s="11"/>
      <c r="CV285" s="11"/>
      <c r="CW285" s="11"/>
      <c r="CX285" s="11"/>
      <c r="CY285" s="11"/>
      <c r="CZ285" s="1"/>
      <c r="DA285" s="17"/>
      <c r="DB285" s="17"/>
      <c r="DC285" s="17"/>
      <c r="DD285" s="17"/>
      <c r="DE285" s="17"/>
      <c r="DF285" s="17"/>
      <c r="DG285" s="17"/>
      <c r="DH285" s="17"/>
      <c r="DI285" s="17"/>
      <c r="DJ285" s="17"/>
      <c r="DK285" s="17"/>
      <c r="DL285" s="17"/>
      <c r="DM285" s="17"/>
      <c r="DN285" s="1"/>
      <c r="DO285" s="1"/>
      <c r="DP285" s="1"/>
      <c r="DQ285" s="131"/>
    </row>
  </sheetData>
  <mergeCells count="20">
    <mergeCell ref="BY2:CK2"/>
    <mergeCell ref="CM2:CY2"/>
    <mergeCell ref="DA2:DM2"/>
    <mergeCell ref="D2:G2"/>
    <mergeCell ref="I2:N2"/>
    <mergeCell ref="T2:W2"/>
    <mergeCell ref="AD2:AG2"/>
    <mergeCell ref="AI2:AU2"/>
    <mergeCell ref="AW2:BI2"/>
    <mergeCell ref="BK2:BW2"/>
    <mergeCell ref="Y3:AB3"/>
    <mergeCell ref="AD3:AE3"/>
    <mergeCell ref="AF3:AG3"/>
    <mergeCell ref="D3:G3"/>
    <mergeCell ref="I3:J3"/>
    <mergeCell ref="K3:L3"/>
    <mergeCell ref="M3:N3"/>
    <mergeCell ref="P3:R3"/>
    <mergeCell ref="T3:U3"/>
    <mergeCell ref="V3:W3"/>
  </mergeCells>
  <conditionalFormatting sqref="AI1:AT1 AW1:BH1">
    <cfRule type="containsText" dxfId="0" priority="1" operator="containsText" text="FALSE">
      <formula>NOT(ISERROR(SEARCH(("FALSE"),(AI1))))</formula>
    </cfRule>
  </conditionalFormatting>
  <conditionalFormatting sqref="AU1 BI1">
    <cfRule type="cellIs" dxfId="1" priority="2" operator="notEqual">
      <formula>0</formula>
    </cfRule>
  </conditionalFormatting>
  <conditionalFormatting sqref="J8:J23 L8:L23 N8:N23 U8:U23 W8:W23 AE8:AE23 AG8:AG23 J25:J27 L25:L27 N25:N27 U25:U27 W25:W27 AE25:AE27 AG25:AG27 J37:J54 L37:L54 N37:N54 U37:U54 W37:W54 AE37:AE54 AG37:AG54 J57:J64 L57:L64 N57:N64 U57:U64 W57:W64 AE57:AE64 AG57:AG64 J67:J74 L67:L74 N67:N74 U67:U74 W67:W74 AE67:AE74 AG67:AG74 J78:J87 L78:L87 N78:N87 U78:U87 W78:W87 AE78:AE87 AG78:AG87 J89 L89 N89 U89 W89 AE89 AG89 J93:J111 L93:L111 N93:N111 U93:U111 W93:W111 AE93:AE111 AG93:AG111 J113 L113 N113 U113 W113 AE113 AG113 J116:J123 L116:L123 N116:N123 U116:U123 W116:W123 AE116:AE123 AG116:AG123 J126:J135 L126:L135 N126:N135 U126:U135 W126:W135 AE126:AE135 AG126:AG135 J138:J147 L138:L147 N138:N147 U138:U147 W138:W147 AE138:AE147 AG138:AG147 J150:J157 L150:L157 N150:N157 U150:U157 W150:W157 AE150:AE157 AG150:AG157 J159:J167 L159:L167 N159:N167 U159:U167 W159:W167 AE159:AE167 AG159:AG167 J170:J186 L170:L186 N170:N186 U170:U186 W170:W186 AE170:AE186 AG170:AG186 J189:J223 L189:L223 N189:N223 U189:U223 W189:W223 AE189:AE223 AG189:AG223 J226:J234 L226:L234 N226:N234 U226:U234 W226:W234 AE226:AE234 AG226:AG234 J236:J258 L236:L258 N236:N258 U236:U260 W236:W260 AE236:AE258 AG236:AG258 J262 L262 N262 U262 W262 AE262 AG262 J264:J266 L264:L266 N264:N266 U264:U266 W264:W266 AE264:AE266 AG264:AG266 J271 L271 N271 AE271 AG271 J273:J283 L273:L283 N273:N283 U273:U282 W273:W282 AE273:AE283 AG273:AG283">
    <cfRule type="cellIs" dxfId="2" priority="3" operator="greaterThan">
      <formula>"0.50%"</formula>
    </cfRule>
  </conditionalFormatting>
  <conditionalFormatting sqref="J8:J23 L8:L23 N8:N23 U8:U23 W8:W23 AE8:AE23 AG8:AG23 J25:J27 L25:L27 N25:N27 U25:U27 W25:W27 AE25:AE27 AG25:AG27 J37:J54 L37:L54 N37:N54 U37:U54 W37:W54 AE37:AE54 AG37:AG54 J57:J64 L57:L64 N57:N64 U57:U64 W57:W64 AE57:AE64 AG57:AG64 J67:J74 L67:L74 N67:N74 U67:U74 W67:W74 AE67:AE74 AG67:AG74 J78:J87 L78:L87 N78:N87 U78:U87 W78:W87 AE78:AE87 AG78:AG87 J89 L89 N89 U89 W89 AE89 AG89 J93:J111 L93:L111 N93:N111 U93:U111 W93:W111 AE93:AE111 AG93:AG111 J113 L113 N113 U113 W113 AE113 AG113 J116:J123 L116:L123 N116:N123 U116:U123 W116:W123 AE116:AE123 AG116:AG123 J126:J135 L126:L135 N126:N135 U126:U135 W126:W135 AE126:AE135 AG126:AG135 J138:J147 L138:L147 N138:N147 U138:U147 W138:W147 AE138:AE147 AG138:AG147 J150:J157 L150:L157 N150:N157 U150:U157 W150:W157 AE150:AE157 AG150:AG157 J159:J167 L159:L167 N159:N167 U159:U167 W159:W167 AE159:AE167 AG159:AG167 J170:J186 L170:L186 N170:N186 U170:U186 W170:W186 AE170:AE186 AG170:AG186 J189:J223 L189:L223 N189:N223 U189:U223 W189:W223 AE189:AE223 AG189:AG223 J226:J234 L226:L234 N226:N234 U226:U234 W226:W234 AE226:AE234 AG226:AG234 J236:J258 L236:L258 N236:N258 U236:U260 W236:W260 AE236:AE258 AG236:AG258 J262 L262 N262 U262 W262 AE262 AG262 J264:J266 L264:L266 N264:N266 U264:U266 W264:W266 AE264:AE266 AG264:AG266 J271 L271 N271 AE271 AG271 J273:J283 L273:L283 N273:N283 U273:U282 W273:W282 AE273:AE283 AG273:AG283">
    <cfRule type="cellIs" dxfId="3" priority="4" operator="lessThan">
      <formula>"-0.50%"</formula>
    </cfRule>
  </conditionalFormatting>
  <conditionalFormatting sqref="J8:J23 L8:L23 N8:N23 U8:U23 W8:W23 AE8:AE23 AG8:AG23 J25:J27 L25:L27 N25:N27 U25:U27 W25:W27 AE25:AE27 AG25:AG27 J37:J54 L37:L54 N37:N54 U37:U54 W37:W54 AE37:AE54 AG37:AG54 J57:J64 L57:L64 N57:N64 U57:U64 W57:W64 AE57:AE64 AG57:AG64 J67:J74 L67:L74 N67:N74 U67:U74 W67:W74 AE67:AE74 AG67:AG74 J78:J87 L78:L87 N78:N87 U78:U87 W78:W87 AE78:AE87 AG78:AG87 J89 L89 N89 U89 W89 AE89 AG89 J93:J111 L93:L111 N93:N111 U93:U111 W93:W111 AE93:AE111 AG93:AG111 J113 L113 N113 U113 W113 AE113 AG113 J116:J123 L116:L123 N116:N123 U116:U123 W116:W123 AE116:AE123 AG116:AG123 J126:J135 L126:L135 N126:N135 U126:U135 W126:W135 AE126:AE135 AG126:AG135 J138:J147 L138:L147 N138:N147 U138:U147 W138:W147 AE138:AE147 AG138:AG147 J150:J157 L150:L157 N150:N157 U150:U157 W150:W157 AE150:AE157 AG150:AG157 J159:J167 L159:L167 N159:N167 U159:U167 W159:W167 AE159:AE167 AG159:AG167 J170:J186 L170:L186 N170:N186 U170:U186 W170:W186 AE170:AE186 AG170:AG186 J189:J223 L189:L223 N189:N223 U189:U223 W189:W223 AE189:AE223 AG189:AG223 J226:J234 L226:L234 N226:N234 U226:U234 W226:W234 AE226:AE234 AG226:AG234 J236:J258 L236:L258 N236:N258 U236:U260 W236:W260 AE236:AE258 AG236:AG258 J262 L262 N262 U262 W262 AE262 AG262 J264:J266 L264:L266 N264:N266 U264:U266 W264:W266 AE264:AE266 AG264:AG266 J271 L271 N271 AE271 AG271 J273:J283 L273:L283 N273:N283 U273:U282 W273:W282 AE273:AE283 AG273:AG283">
    <cfRule type="cellIs" dxfId="4" priority="5" operator="equal">
      <formula>0</formula>
    </cfRule>
  </conditionalFormatting>
  <conditionalFormatting sqref="AI1:AT1 AW1:BH1">
    <cfRule type="containsText" dxfId="5" priority="6" operator="containsText" text="TRUE">
      <formula>NOT(ISERROR(SEARCH(("TRUE"),(AI1))))</formula>
    </cfRule>
  </conditionalFormatting>
  <dataValidations>
    <dataValidation type="list" allowBlank="1" showErrorMessage="1" sqref="AI3:AU3 AW3:BI3 BK3:BW3 BY3:CK3 CM3:CY3 DA3:DM3">
      <formula1>"A,B,F,A+B,A+F"</formula1>
    </dataValidation>
    <dataValidation type="list" allowBlank="1" showErrorMessage="1" sqref="D2">
      <formula1>"1,2,3,4,5,6,7,8,9,10,11,12"</formula1>
    </dataValidation>
  </dataValidations>
  <printOptions/>
  <pageMargins bottom="0.75" footer="0.0" header="0.0" left="0.7" right="0.7" top="0.75"/>
  <pageSetup orientation="landscape"/>
  <drawing r:id="rId1"/>
</worksheet>
</file>